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1" codeName="{EF0A3169-33C6-E2D0-F78B-2A1B1023552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emarusi/Desktop/Exercise Files/"/>
    </mc:Choice>
  </mc:AlternateContent>
  <xr:revisionPtr revIDLastSave="0" documentId="13_ncr:1_{A94035AB-8FDD-D044-8E6C-E8F92BF5CB45}" xr6:coauthVersionLast="45" xr6:coauthVersionMax="45" xr10:uidLastSave="{00000000-0000-0000-0000-000000000000}"/>
  <bookViews>
    <workbookView xWindow="140" yWindow="900" windowWidth="24180" windowHeight="15260" tabRatio="684" activeTab="2" xr2:uid="{00000000-000D-0000-FFFF-FFFF00000000}"/>
  </bookViews>
  <sheets>
    <sheet name="End Product" sheetId="1" r:id="rId1"/>
    <sheet name="Backup" sheetId="3" r:id="rId2"/>
    <sheet name="Backup (3)" sheetId="6" r:id="rId3"/>
    <sheet name="Backup (2)" sheetId="5" r:id="rId4"/>
    <sheet name="Backup of Backup" sheetId="4" r:id="rId5"/>
    <sheet name="Original Data" sheetId="2" r:id="rId6"/>
  </sheets>
  <calcPr calcId="191029"/>
</workbook>
</file>

<file path=xl/calcChain.xml><?xml version="1.0" encoding="utf-8"?>
<calcChain xmlns="http://schemas.openxmlformats.org/spreadsheetml/2006/main">
  <c r="G19" i="6" l="1"/>
  <c r="H19" i="6" s="1"/>
  <c r="J19" i="6" s="1"/>
  <c r="G18" i="6"/>
  <c r="H18" i="6" s="1"/>
  <c r="J18" i="6" s="1"/>
  <c r="H17" i="6"/>
  <c r="J17" i="6" s="1"/>
  <c r="G17" i="6"/>
  <c r="G16" i="6"/>
  <c r="H16" i="6" s="1"/>
  <c r="J16" i="6" s="1"/>
  <c r="G15" i="6"/>
  <c r="H15" i="6" s="1"/>
  <c r="J15" i="6" s="1"/>
  <c r="G14" i="6"/>
  <c r="H14" i="6" s="1"/>
  <c r="J14" i="6" s="1"/>
  <c r="H13" i="6"/>
  <c r="J13" i="6" s="1"/>
  <c r="G13" i="6"/>
  <c r="G12" i="6"/>
  <c r="H12" i="6" s="1"/>
  <c r="J12" i="6" s="1"/>
  <c r="G11" i="6"/>
  <c r="H11" i="6" s="1"/>
  <c r="J11" i="6" s="1"/>
  <c r="G10" i="6"/>
  <c r="H10" i="6" s="1"/>
  <c r="J10" i="6" s="1"/>
  <c r="H9" i="6"/>
  <c r="J9" i="6" s="1"/>
  <c r="G9" i="6"/>
  <c r="G8" i="6"/>
  <c r="H8" i="6" s="1"/>
  <c r="J8" i="6" s="1"/>
  <c r="G7" i="6"/>
  <c r="H7" i="6" s="1"/>
  <c r="J7" i="6" s="1"/>
  <c r="G6" i="6"/>
  <c r="H6" i="6" s="1"/>
  <c r="J6" i="6" s="1"/>
  <c r="H5" i="6"/>
  <c r="J5" i="6" s="1"/>
  <c r="G5" i="6"/>
  <c r="G18" i="5"/>
  <c r="H18" i="5" s="1"/>
  <c r="J18" i="5" s="1"/>
  <c r="J17" i="5"/>
  <c r="H17" i="5"/>
  <c r="G17" i="5"/>
  <c r="H16" i="5"/>
  <c r="J16" i="5" s="1"/>
  <c r="G16" i="5"/>
  <c r="G15" i="5"/>
  <c r="H15" i="5" s="1"/>
  <c r="J15" i="5" s="1"/>
  <c r="G14" i="5"/>
  <c r="H14" i="5" s="1"/>
  <c r="J14" i="5" s="1"/>
  <c r="J13" i="5"/>
  <c r="H13" i="5"/>
  <c r="G13" i="5"/>
  <c r="H12" i="5"/>
  <c r="J12" i="5" s="1"/>
  <c r="G12" i="5"/>
  <c r="G11" i="5"/>
  <c r="H11" i="5" s="1"/>
  <c r="J11" i="5" s="1"/>
  <c r="G10" i="5"/>
  <c r="H10" i="5" s="1"/>
  <c r="J10" i="5" s="1"/>
  <c r="J9" i="5"/>
  <c r="H9" i="5"/>
  <c r="G9" i="5"/>
  <c r="H8" i="5"/>
  <c r="J8" i="5" s="1"/>
  <c r="G8" i="5"/>
  <c r="G7" i="5"/>
  <c r="H7" i="5" s="1"/>
  <c r="J7" i="5" s="1"/>
  <c r="G6" i="5"/>
  <c r="H6" i="5" s="1"/>
  <c r="J6" i="5" s="1"/>
  <c r="J5" i="5"/>
  <c r="H5" i="5"/>
  <c r="G5" i="5"/>
  <c r="H1" i="5"/>
  <c r="J1" i="5" s="1"/>
  <c r="G1" i="5"/>
  <c r="G18" i="4" l="1"/>
  <c r="H18" i="4" s="1"/>
  <c r="J18" i="4" s="1"/>
  <c r="G17" i="4"/>
  <c r="H17" i="4" s="1"/>
  <c r="J17" i="4" s="1"/>
  <c r="H16" i="4"/>
  <c r="J16" i="4" s="1"/>
  <c r="G16" i="4"/>
  <c r="G15" i="4"/>
  <c r="H15" i="4" s="1"/>
  <c r="J15" i="4" s="1"/>
  <c r="G14" i="4"/>
  <c r="H14" i="4" s="1"/>
  <c r="J14" i="4" s="1"/>
  <c r="G13" i="4"/>
  <c r="H13" i="4" s="1"/>
  <c r="J13" i="4" s="1"/>
  <c r="G12" i="4"/>
  <c r="H12" i="4" s="1"/>
  <c r="J12" i="4" s="1"/>
  <c r="G11" i="4"/>
  <c r="H11" i="4" s="1"/>
  <c r="J11" i="4" s="1"/>
  <c r="G10" i="4"/>
  <c r="H10" i="4" s="1"/>
  <c r="J10" i="4" s="1"/>
  <c r="G9" i="4"/>
  <c r="H9" i="4" s="1"/>
  <c r="J9" i="4" s="1"/>
  <c r="G8" i="4"/>
  <c r="H8" i="4" s="1"/>
  <c r="J8" i="4" s="1"/>
  <c r="G7" i="4"/>
  <c r="H7" i="4" s="1"/>
  <c r="J7" i="4" s="1"/>
  <c r="H6" i="4"/>
  <c r="J6" i="4" s="1"/>
  <c r="G6" i="4"/>
  <c r="G5" i="4"/>
  <c r="H5" i="4" s="1"/>
  <c r="J5" i="4" s="1"/>
  <c r="G1" i="4"/>
  <c r="H1" i="4" s="1"/>
  <c r="J1" i="4" s="1"/>
  <c r="F15" i="3"/>
  <c r="G15" i="3" s="1"/>
  <c r="I15" i="3" s="1"/>
  <c r="F14" i="3"/>
  <c r="G14" i="3" s="1"/>
  <c r="I14" i="3" s="1"/>
  <c r="F13" i="3"/>
  <c r="G13" i="3" s="1"/>
  <c r="I13" i="3" s="1"/>
  <c r="F12" i="3"/>
  <c r="G12" i="3" s="1"/>
  <c r="I12" i="3" s="1"/>
  <c r="G11" i="3"/>
  <c r="I11" i="3" s="1"/>
  <c r="F11" i="3"/>
  <c r="F10" i="3"/>
  <c r="G10" i="3" s="1"/>
  <c r="I10" i="3" s="1"/>
  <c r="F9" i="3"/>
  <c r="G9" i="3" s="1"/>
  <c r="I9" i="3" s="1"/>
  <c r="F8" i="3"/>
  <c r="G8" i="3" s="1"/>
  <c r="I8" i="3" s="1"/>
  <c r="G7" i="3"/>
  <c r="I7" i="3" s="1"/>
  <c r="F7" i="3"/>
  <c r="F6" i="3"/>
  <c r="G6" i="3" s="1"/>
  <c r="I6" i="3" s="1"/>
  <c r="F5" i="3"/>
  <c r="G5" i="3" s="1"/>
  <c r="I5" i="3" s="1"/>
  <c r="F4" i="3"/>
  <c r="G4" i="3" s="1"/>
  <c r="I4" i="3" s="1"/>
  <c r="G3" i="3"/>
  <c r="I3" i="3" s="1"/>
  <c r="F3" i="3"/>
  <c r="F2" i="3"/>
  <c r="G2" i="3" s="1"/>
  <c r="I2" i="3" s="1"/>
  <c r="F1" i="3"/>
  <c r="G1" i="3" s="1"/>
  <c r="I1" i="3" s="1"/>
  <c r="F15" i="2" l="1"/>
  <c r="G15" i="2" s="1"/>
  <c r="I15" i="2" s="1"/>
  <c r="F14" i="2"/>
  <c r="G14" i="2" s="1"/>
  <c r="I14" i="2" s="1"/>
  <c r="F13" i="2"/>
  <c r="G13" i="2" s="1"/>
  <c r="I13" i="2" s="1"/>
  <c r="F12" i="2"/>
  <c r="G12" i="2" s="1"/>
  <c r="I12" i="2" s="1"/>
  <c r="F11" i="2"/>
  <c r="G11" i="2" s="1"/>
  <c r="I11" i="2" s="1"/>
  <c r="F10" i="2"/>
  <c r="G10" i="2" s="1"/>
  <c r="I10" i="2" s="1"/>
  <c r="F9" i="2"/>
  <c r="G9" i="2" s="1"/>
  <c r="I9" i="2" s="1"/>
  <c r="F8" i="2"/>
  <c r="G8" i="2" s="1"/>
  <c r="I8" i="2" s="1"/>
  <c r="F7" i="2"/>
  <c r="G7" i="2" s="1"/>
  <c r="I7" i="2" s="1"/>
  <c r="F6" i="2"/>
  <c r="G6" i="2" s="1"/>
  <c r="I6" i="2" s="1"/>
  <c r="F5" i="2"/>
  <c r="G5" i="2" s="1"/>
  <c r="I5" i="2" s="1"/>
  <c r="F4" i="2"/>
  <c r="G4" i="2" s="1"/>
  <c r="I4" i="2" s="1"/>
  <c r="F3" i="2"/>
  <c r="G3" i="2" s="1"/>
  <c r="I3" i="2" s="1"/>
  <c r="F2" i="2"/>
  <c r="G2" i="2" s="1"/>
  <c r="I2" i="2" s="1"/>
  <c r="F1" i="2"/>
  <c r="G1" i="2" s="1"/>
  <c r="I1" i="2" s="1"/>
  <c r="G19" i="1"/>
  <c r="H19" i="1" s="1"/>
  <c r="J19" i="1" s="1"/>
  <c r="G18" i="1"/>
  <c r="H18" i="1" s="1"/>
  <c r="J18" i="1" s="1"/>
  <c r="G17" i="1"/>
  <c r="H17" i="1" s="1"/>
  <c r="J17" i="1" s="1"/>
  <c r="G16" i="1"/>
  <c r="H16" i="1" s="1"/>
  <c r="J16" i="1" s="1"/>
  <c r="G15" i="1"/>
  <c r="H15" i="1" s="1"/>
  <c r="J15" i="1" s="1"/>
  <c r="G14" i="1"/>
  <c r="H14" i="1" s="1"/>
  <c r="J14" i="1" s="1"/>
  <c r="G13" i="1"/>
  <c r="H13" i="1" s="1"/>
  <c r="J13" i="1" s="1"/>
  <c r="G12" i="1"/>
  <c r="H12" i="1" s="1"/>
  <c r="J12" i="1" s="1"/>
  <c r="G11" i="1"/>
  <c r="H11" i="1" s="1"/>
  <c r="J11" i="1" s="1"/>
  <c r="G10" i="1"/>
  <c r="H10" i="1" s="1"/>
  <c r="J10" i="1" s="1"/>
  <c r="G9" i="1"/>
  <c r="H9" i="1" s="1"/>
  <c r="J9" i="1" s="1"/>
  <c r="G8" i="1"/>
  <c r="H8" i="1" s="1"/>
  <c r="J8" i="1" s="1"/>
  <c r="G7" i="1"/>
  <c r="H7" i="1" s="1"/>
  <c r="J7" i="1" s="1"/>
  <c r="G6" i="1"/>
  <c r="H6" i="1" s="1"/>
  <c r="J6" i="1" s="1"/>
  <c r="G5" i="1"/>
  <c r="H5" i="1" s="1"/>
  <c r="J5" i="1" s="1"/>
</calcChain>
</file>

<file path=xl/sharedStrings.xml><?xml version="1.0" encoding="utf-8"?>
<sst xmlns="http://schemas.openxmlformats.org/spreadsheetml/2006/main" count="134" uniqueCount="28">
  <si>
    <t>Stock Prices</t>
  </si>
  <si>
    <t>Symbol:</t>
  </si>
  <si>
    <t>Open:</t>
  </si>
  <si>
    <t>High:</t>
  </si>
  <si>
    <t>Low:</t>
  </si>
  <si>
    <t>Close:</t>
  </si>
  <si>
    <t>Net Chg:</t>
  </si>
  <si>
    <t>Pct Chg:</t>
  </si>
  <si>
    <t>Port Alloc:</t>
  </si>
  <si>
    <t>Pct Prt Chg: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</si>
  <si>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</si>
  <si>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</si>
  <si>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</si>
  <si>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</si>
  <si>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</si>
  <si>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</si>
  <si>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</si>
  <si>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</si>
  <si>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</si>
  <si>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</si>
  <si>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</si>
  <si>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</si>
  <si>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</si>
  <si>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</si>
  <si>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</si>
  <si>
    <t>Our Global Company</t>
  </si>
  <si>
    <t>Prt Alloc:</t>
  </si>
  <si>
    <t>Prt Pct Chg: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</si>
</sst>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NumberFormat="1" applyFont="1"/>
    <xf numFmtId="0" fontId="0" fillId="0" borderId="0" xfId="0" applyNumberFormat="1"/>
    <xf numFmtId="164" fontId="0" fillId="0" borderId="0" xfId="1" applyFont="1"/>
    <xf numFmtId="9" fontId="0" fillId="0" borderId="0" xfId="2" applyFont="1"/>
    <xf numFmtId="0" fontId="4" fillId="0" borderId="0" xfId="0" applyNumberFormat="1" applyFont="1"/>
    <xf numFmtId="0" fontId="5" fillId="0" borderId="0" xfId="0" applyNumberFormat="1" applyFont="1"/>
    <xf numFmtId="164" fontId="5" fillId="0" borderId="0" xfId="1" applyFont="1"/>
    <xf numFmtId="9" fontId="5" fillId="0" borderId="0" xfId="2" applyFont="1"/>
    <xf numFmtId="9" fontId="3" fillId="0" borderId="0" xfId="2" quotePrefix="1" applyFont="1" applyBorder="1" applyAlignment="1">
      <alignment horizontal="right"/>
    </xf>
    <xf numFmtId="0" fontId="0" fillId="0" borderId="0" xfId="1" applyNumberFormat="1" applyFont="1"/>
    <xf numFmtId="0" fontId="0" fillId="0" borderId="0" xfId="2" applyNumberFormat="1" applyFont="1"/>
    <xf numFmtId="0" fontId="3" fillId="0" borderId="0" xfId="2" quotePrefix="1" applyNumberFormat="1" applyFont="1" applyBorder="1" applyAlignment="1">
      <alignment horizontal="right"/>
    </xf>
    <xf numFmtId="0" fontId="6" fillId="0" borderId="0" xfId="0" applyNumberFormat="1" applyFont="1"/>
    <xf numFmtId="0" fontId="7" fillId="0" borderId="0" xfId="0" applyNumberFormat="1" applyFont="1"/>
    <xf numFmtId="0" fontId="8" fillId="0" borderId="0" xfId="0" applyNumberFormat="1" applyFont="1"/>
    <xf numFmtId="164" fontId="8" fillId="0" borderId="0" xfId="1" applyFont="1"/>
    <xf numFmtId="9" fontId="8" fillId="0" borderId="0" xfId="2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1"/>
  <sheetViews>
    <sheetView workbookViewId="0">
      <selection activeCell="J20" sqref="J20"/>
    </sheetView>
  </sheetViews>
  <sheetFormatPr baseColWidth="10" defaultColWidth="6.1640625" defaultRowHeight="15"/>
  <cols>
    <col min="1" max="1" width="4.5" style="2" customWidth="1"/>
    <col min="2" max="2" width="10.5" style="2" bestFit="1" customWidth="1"/>
    <col min="3" max="3" width="9.5" style="3" bestFit="1" customWidth="1"/>
    <col min="4" max="4" width="8.6640625" style="3" bestFit="1" customWidth="1"/>
    <col min="5" max="5" width="8.33203125" style="3" bestFit="1" customWidth="1"/>
    <col min="6" max="6" width="10" style="3" bestFit="1" customWidth="1"/>
    <col min="7" max="7" width="12.5" style="3" bestFit="1" customWidth="1"/>
    <col min="8" max="8" width="11" style="4" bestFit="1" customWidth="1"/>
    <col min="9" max="9" width="13" style="4" bestFit="1" customWidth="1"/>
    <col min="10" max="10" width="14.83203125" style="4" bestFit="1" customWidth="1"/>
    <col min="11" max="13" width="6.1640625" style="2"/>
    <col min="14" max="14" width="7.5" style="2" customWidth="1"/>
    <col min="15" max="16384" width="6.1640625" style="2"/>
  </cols>
  <sheetData>
    <row r="1" spans="1:14" ht="23">
      <c r="A1" s="1" t="s">
        <v>25</v>
      </c>
    </row>
    <row r="2" spans="1:14" ht="18">
      <c r="A2" s="5" t="s">
        <v>0</v>
      </c>
    </row>
    <row r="4" spans="1:14" ht="16">
      <c r="B4" s="6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8" t="s">
        <v>7</v>
      </c>
      <c r="I4" s="8" t="s">
        <v>8</v>
      </c>
      <c r="J4" s="8" t="s">
        <v>9</v>
      </c>
    </row>
    <row r="5" spans="1:14">
      <c r="B5" s="2" t="s">
        <v>10</v>
      </c>
      <c r="C5" s="3">
        <v>15</v>
      </c>
      <c r="D5" s="3">
        <v>16.23</v>
      </c>
      <c r="E5" s="3">
        <v>9.23</v>
      </c>
      <c r="F5" s="3">
        <v>12.53</v>
      </c>
      <c r="G5" s="3">
        <f t="shared" ref="G5:G19" si="0">F5-C5</f>
        <v>-2.4700000000000006</v>
      </c>
      <c r="H5" s="4">
        <f t="shared" ref="H5:H19" si="1">G5/C5</f>
        <v>-0.16466666666666671</v>
      </c>
      <c r="I5" s="4">
        <v>0.1</v>
      </c>
      <c r="J5" s="4">
        <f t="shared" ref="J5:J19" si="2">H5*I5</f>
        <v>-1.6466666666666671E-2</v>
      </c>
      <c r="N5" s="3"/>
    </row>
    <row r="6" spans="1:14">
      <c r="B6" s="2" t="s">
        <v>11</v>
      </c>
      <c r="C6" s="3">
        <v>38.07</v>
      </c>
      <c r="D6" s="3">
        <v>41.38</v>
      </c>
      <c r="E6" s="3">
        <v>32.9</v>
      </c>
      <c r="F6" s="3">
        <v>41.38</v>
      </c>
      <c r="G6" s="3">
        <f t="shared" si="0"/>
        <v>3.3100000000000023</v>
      </c>
      <c r="H6" s="4">
        <f t="shared" si="1"/>
        <v>8.6945101129498353E-2</v>
      </c>
      <c r="I6" s="4">
        <v>0.04</v>
      </c>
      <c r="J6" s="4">
        <f t="shared" si="2"/>
        <v>3.4778040451799342E-3</v>
      </c>
      <c r="N6" s="3"/>
    </row>
    <row r="7" spans="1:14">
      <c r="B7" s="2" t="s">
        <v>12</v>
      </c>
      <c r="C7" s="3">
        <v>23.45</v>
      </c>
      <c r="D7" s="3">
        <v>25.33</v>
      </c>
      <c r="E7" s="3">
        <v>18.34</v>
      </c>
      <c r="F7" s="3">
        <v>21.34</v>
      </c>
      <c r="G7" s="3">
        <f t="shared" si="0"/>
        <v>-2.1099999999999994</v>
      </c>
      <c r="H7" s="4">
        <f t="shared" si="1"/>
        <v>-8.9978678038379514E-2</v>
      </c>
      <c r="I7" s="4">
        <v>0.08</v>
      </c>
      <c r="J7" s="4">
        <f t="shared" si="2"/>
        <v>-7.1982942430703616E-3</v>
      </c>
      <c r="N7" s="3"/>
    </row>
    <row r="8" spans="1:14">
      <c r="B8" s="2" t="s">
        <v>13</v>
      </c>
      <c r="C8" s="3">
        <v>27.34</v>
      </c>
      <c r="D8" s="3">
        <v>30.09</v>
      </c>
      <c r="E8" s="3">
        <v>21.35</v>
      </c>
      <c r="F8" s="3">
        <v>24.32</v>
      </c>
      <c r="G8" s="3">
        <f t="shared" si="0"/>
        <v>-3.0199999999999996</v>
      </c>
      <c r="H8" s="4">
        <f t="shared" si="1"/>
        <v>-0.11046086320409655</v>
      </c>
      <c r="I8" s="4">
        <v>7.0000000000000007E-2</v>
      </c>
      <c r="J8" s="4">
        <f t="shared" si="2"/>
        <v>-7.7322604242867597E-3</v>
      </c>
      <c r="N8" s="3"/>
    </row>
    <row r="9" spans="1:14">
      <c r="B9" s="2" t="s">
        <v>14</v>
      </c>
      <c r="C9" s="3">
        <v>15.78</v>
      </c>
      <c r="D9" s="3">
        <v>16.43</v>
      </c>
      <c r="E9" s="3">
        <v>13.55</v>
      </c>
      <c r="F9" s="3">
        <v>14.32</v>
      </c>
      <c r="G9" s="3">
        <f t="shared" si="0"/>
        <v>-1.4599999999999991</v>
      </c>
      <c r="H9" s="4">
        <f t="shared" si="1"/>
        <v>-9.2522179974651397E-2</v>
      </c>
      <c r="I9" s="4">
        <v>0.05</v>
      </c>
      <c r="J9" s="4">
        <f t="shared" si="2"/>
        <v>-4.62610899873257E-3</v>
      </c>
      <c r="N9" s="3"/>
    </row>
    <row r="10" spans="1:14">
      <c r="B10" s="2" t="s">
        <v>15</v>
      </c>
      <c r="C10" s="3">
        <v>17.89</v>
      </c>
      <c r="D10" s="3">
        <v>30.34</v>
      </c>
      <c r="E10" s="3">
        <v>15.67</v>
      </c>
      <c r="F10" s="3">
        <v>23.45</v>
      </c>
      <c r="G10" s="3">
        <f t="shared" si="0"/>
        <v>5.5599999999999987</v>
      </c>
      <c r="H10" s="4">
        <f t="shared" si="1"/>
        <v>0.31078814980435987</v>
      </c>
      <c r="I10" s="4">
        <v>0.05</v>
      </c>
      <c r="J10" s="4">
        <f t="shared" si="2"/>
        <v>1.5539407490217995E-2</v>
      </c>
      <c r="N10" s="3"/>
    </row>
    <row r="11" spans="1:14">
      <c r="B11" s="2" t="s">
        <v>16</v>
      </c>
      <c r="C11" s="3">
        <v>24.43</v>
      </c>
      <c r="D11" s="3">
        <v>29.45</v>
      </c>
      <c r="E11" s="3">
        <v>24.43</v>
      </c>
      <c r="F11" s="3">
        <v>25.65</v>
      </c>
      <c r="G11" s="3">
        <f t="shared" si="0"/>
        <v>1.2199999999999989</v>
      </c>
      <c r="H11" s="4">
        <f t="shared" si="1"/>
        <v>4.9938600081866513E-2</v>
      </c>
      <c r="I11" s="4">
        <v>0.05</v>
      </c>
      <c r="J11" s="4">
        <f t="shared" si="2"/>
        <v>2.496930004093326E-3</v>
      </c>
      <c r="N11" s="3"/>
    </row>
    <row r="12" spans="1:14">
      <c r="B12" s="2" t="s">
        <v>17</v>
      </c>
      <c r="C12" s="3">
        <v>15.45</v>
      </c>
      <c r="D12" s="3">
        <v>30.21</v>
      </c>
      <c r="E12" s="3">
        <v>13.56</v>
      </c>
      <c r="F12" s="3">
        <v>20.34</v>
      </c>
      <c r="G12" s="3">
        <f t="shared" si="0"/>
        <v>4.8900000000000006</v>
      </c>
      <c r="H12" s="4">
        <f t="shared" si="1"/>
        <v>0.31650485436893211</v>
      </c>
      <c r="I12" s="4">
        <v>0.1</v>
      </c>
      <c r="J12" s="4">
        <f t="shared" si="2"/>
        <v>3.1650485436893215E-2</v>
      </c>
      <c r="N12" s="3"/>
    </row>
    <row r="13" spans="1:14">
      <c r="B13" s="2" t="s">
        <v>18</v>
      </c>
      <c r="C13" s="3">
        <v>34.14</v>
      </c>
      <c r="D13" s="3">
        <v>34.14</v>
      </c>
      <c r="E13" s="3">
        <v>32.65</v>
      </c>
      <c r="F13" s="3">
        <v>33.14</v>
      </c>
      <c r="G13" s="3">
        <f t="shared" si="0"/>
        <v>-1</v>
      </c>
      <c r="H13" s="4">
        <f t="shared" si="1"/>
        <v>-2.9291154071470416E-2</v>
      </c>
      <c r="I13" s="4">
        <v>0.05</v>
      </c>
      <c r="J13" s="4">
        <f t="shared" si="2"/>
        <v>-1.4645577035735209E-3</v>
      </c>
      <c r="N13" s="3"/>
    </row>
    <row r="14" spans="1:14">
      <c r="B14" s="2" t="s">
        <v>19</v>
      </c>
      <c r="C14" s="3">
        <v>35.65</v>
      </c>
      <c r="D14" s="3">
        <v>38.56</v>
      </c>
      <c r="E14" s="3">
        <v>24.56</v>
      </c>
      <c r="F14" s="3">
        <v>31.54</v>
      </c>
      <c r="G14" s="3">
        <f t="shared" si="0"/>
        <v>-4.1099999999999994</v>
      </c>
      <c r="H14" s="4">
        <f t="shared" si="1"/>
        <v>-0.11528751753155679</v>
      </c>
      <c r="I14" s="4">
        <v>0.04</v>
      </c>
      <c r="J14" s="4">
        <f t="shared" si="2"/>
        <v>-4.6115007012622715E-3</v>
      </c>
      <c r="N14" s="3"/>
    </row>
    <row r="15" spans="1:14">
      <c r="B15" s="2" t="s">
        <v>20</v>
      </c>
      <c r="C15" s="3">
        <v>14.56</v>
      </c>
      <c r="D15" s="3">
        <v>25.46</v>
      </c>
      <c r="E15" s="3">
        <v>12.34</v>
      </c>
      <c r="F15" s="3">
        <v>19.34</v>
      </c>
      <c r="G15" s="3">
        <f t="shared" si="0"/>
        <v>4.7799999999999994</v>
      </c>
      <c r="H15" s="4">
        <f t="shared" si="1"/>
        <v>0.32829670329670324</v>
      </c>
      <c r="I15" s="4">
        <v>0.08</v>
      </c>
      <c r="J15" s="4">
        <f t="shared" si="2"/>
        <v>2.6263736263736261E-2</v>
      </c>
      <c r="N15" s="3"/>
    </row>
    <row r="16" spans="1:14">
      <c r="B16" s="2" t="s">
        <v>21</v>
      </c>
      <c r="C16" s="3">
        <v>52.9</v>
      </c>
      <c r="D16" s="3">
        <v>53.13</v>
      </c>
      <c r="E16" s="3">
        <v>42.53</v>
      </c>
      <c r="F16" s="3">
        <v>49.03</v>
      </c>
      <c r="G16" s="3">
        <f t="shared" si="0"/>
        <v>-3.8699999999999974</v>
      </c>
      <c r="H16" s="4">
        <f t="shared" si="1"/>
        <v>-7.3156899810964043E-2</v>
      </c>
      <c r="I16" s="4">
        <v>0.03</v>
      </c>
      <c r="J16" s="4">
        <f t="shared" si="2"/>
        <v>-2.1947069943289211E-3</v>
      </c>
      <c r="N16" s="3"/>
    </row>
    <row r="17" spans="2:14">
      <c r="B17" s="2" t="s">
        <v>22</v>
      </c>
      <c r="C17" s="3">
        <v>1.23</v>
      </c>
      <c r="D17" s="3">
        <v>2.34</v>
      </c>
      <c r="E17" s="3">
        <v>1.23</v>
      </c>
      <c r="F17" s="3">
        <v>1.56</v>
      </c>
      <c r="G17" s="3">
        <f t="shared" si="0"/>
        <v>0.33000000000000007</v>
      </c>
      <c r="H17" s="4">
        <f t="shared" si="1"/>
        <v>0.26829268292682934</v>
      </c>
      <c r="I17" s="4">
        <v>0.1</v>
      </c>
      <c r="J17" s="4">
        <f t="shared" si="2"/>
        <v>2.6829268292682937E-2</v>
      </c>
      <c r="N17" s="3"/>
    </row>
    <row r="18" spans="2:14">
      <c r="B18" s="2" t="s">
        <v>23</v>
      </c>
      <c r="C18" s="3">
        <v>12.34</v>
      </c>
      <c r="D18" s="3">
        <v>15.43</v>
      </c>
      <c r="E18" s="3">
        <v>11.23</v>
      </c>
      <c r="F18" s="3">
        <v>13.56</v>
      </c>
      <c r="G18" s="3">
        <f t="shared" si="0"/>
        <v>1.2200000000000006</v>
      </c>
      <c r="H18" s="4">
        <f t="shared" si="1"/>
        <v>9.8865478119935221E-2</v>
      </c>
      <c r="I18" s="4">
        <v>0.05</v>
      </c>
      <c r="J18" s="4">
        <f t="shared" si="2"/>
        <v>4.9432739059967618E-3</v>
      </c>
      <c r="N18" s="3"/>
    </row>
    <row r="19" spans="2:14">
      <c r="B19" s="2" t="s">
        <v>24</v>
      </c>
      <c r="C19" s="3">
        <v>3.23</v>
      </c>
      <c r="D19" s="3">
        <v>6.43</v>
      </c>
      <c r="E19" s="3">
        <v>3.12</v>
      </c>
      <c r="F19" s="3">
        <v>4.05</v>
      </c>
      <c r="G19" s="3">
        <f t="shared" si="0"/>
        <v>0.81999999999999984</v>
      </c>
      <c r="H19" s="4">
        <f t="shared" si="1"/>
        <v>0.25386996904024761</v>
      </c>
      <c r="I19" s="4">
        <v>0.06</v>
      </c>
      <c r="J19" s="4">
        <f t="shared" si="2"/>
        <v>1.5232198142414857E-2</v>
      </c>
      <c r="N19" s="3"/>
    </row>
    <row r="20" spans="2:14">
      <c r="J20" s="9"/>
    </row>
    <row r="21" spans="2:14" ht="16">
      <c r="I21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17"/>
  <sheetViews>
    <sheetView workbookViewId="0">
      <selection activeCell="I16" sqref="I16"/>
    </sheetView>
  </sheetViews>
  <sheetFormatPr baseColWidth="10" defaultColWidth="6.1640625" defaultRowHeight="15"/>
  <cols>
    <col min="1" max="1" width="10.5" style="2" customWidth="1"/>
    <col min="2" max="2" width="8.5" style="10" customWidth="1"/>
    <col min="3" max="3" width="9.5" style="10" customWidth="1"/>
    <col min="4" max="4" width="10.5" style="10" customWidth="1"/>
    <col min="5" max="5" width="9.5" style="10" customWidth="1"/>
    <col min="6" max="6" width="9.6640625" style="10" customWidth="1"/>
    <col min="7" max="7" width="14.83203125" style="11" customWidth="1"/>
    <col min="8" max="8" width="8" style="11" customWidth="1"/>
    <col min="9" max="9" width="17" style="11" customWidth="1"/>
    <col min="10" max="16384" width="6.1640625" style="2"/>
  </cols>
  <sheetData>
    <row r="1" spans="1:9">
      <c r="A1" s="2" t="s">
        <v>10</v>
      </c>
      <c r="B1" s="10">
        <v>12.53</v>
      </c>
      <c r="C1" s="10">
        <v>12.99</v>
      </c>
      <c r="D1" s="10">
        <v>9.23</v>
      </c>
      <c r="E1" s="10">
        <v>10.35</v>
      </c>
      <c r="F1" s="10">
        <f t="shared" ref="F1:F15" si="0">E1-B1</f>
        <v>-2.1799999999999997</v>
      </c>
      <c r="G1" s="11">
        <f t="shared" ref="G1:G15" si="1">F1/B1</f>
        <v>-0.17398244213886671</v>
      </c>
      <c r="H1" s="11">
        <v>0.1</v>
      </c>
      <c r="I1" s="11">
        <f t="shared" ref="I1:I15" si="2">G1*H1</f>
        <v>-1.7398244213886672E-2</v>
      </c>
    </row>
    <row r="2" spans="1:9">
      <c r="A2" s="2" t="s">
        <v>11</v>
      </c>
      <c r="B2" s="10">
        <v>41.38</v>
      </c>
      <c r="C2" s="10">
        <v>46.45</v>
      </c>
      <c r="D2" s="10">
        <v>42.23</v>
      </c>
      <c r="E2" s="10">
        <v>45.63</v>
      </c>
      <c r="F2" s="10">
        <f t="shared" si="0"/>
        <v>4.25</v>
      </c>
      <c r="G2" s="11">
        <f t="shared" si="1"/>
        <v>0.10270662155630739</v>
      </c>
      <c r="H2" s="11">
        <v>0.04</v>
      </c>
      <c r="I2" s="11">
        <f t="shared" si="2"/>
        <v>4.108264862252296E-3</v>
      </c>
    </row>
    <row r="3" spans="1:9">
      <c r="A3" s="2" t="s">
        <v>12</v>
      </c>
      <c r="B3" s="10">
        <v>21.34</v>
      </c>
      <c r="C3" s="10">
        <v>25.33</v>
      </c>
      <c r="D3" s="10">
        <v>18.34</v>
      </c>
      <c r="E3" s="10">
        <v>18.600000000000001</v>
      </c>
      <c r="F3" s="10">
        <f t="shared" si="0"/>
        <v>-2.7399999999999984</v>
      </c>
      <c r="G3" s="11">
        <f t="shared" si="1"/>
        <v>-0.12839737582005617</v>
      </c>
      <c r="H3" s="11">
        <v>0.08</v>
      </c>
      <c r="I3" s="11">
        <f t="shared" si="2"/>
        <v>-1.0271790065604493E-2</v>
      </c>
    </row>
    <row r="4" spans="1:9">
      <c r="A4" s="2" t="s">
        <v>13</v>
      </c>
      <c r="B4" s="10">
        <v>24.32</v>
      </c>
      <c r="C4" s="10">
        <v>25.67</v>
      </c>
      <c r="D4" s="10">
        <v>21.35</v>
      </c>
      <c r="E4" s="10">
        <v>21.45</v>
      </c>
      <c r="F4" s="10">
        <f t="shared" si="0"/>
        <v>-2.870000000000001</v>
      </c>
      <c r="G4" s="11">
        <f t="shared" si="1"/>
        <v>-0.11800986842105267</v>
      </c>
      <c r="H4" s="11">
        <v>7.0000000000000007E-2</v>
      </c>
      <c r="I4" s="11">
        <f t="shared" si="2"/>
        <v>-8.2606907894736872E-3</v>
      </c>
    </row>
    <row r="5" spans="1:9">
      <c r="A5" s="2" t="s">
        <v>14</v>
      </c>
      <c r="B5" s="10">
        <v>14.32</v>
      </c>
      <c r="C5" s="10">
        <v>16.43</v>
      </c>
      <c r="D5" s="10">
        <v>13.55</v>
      </c>
      <c r="E5" s="10">
        <v>13.63</v>
      </c>
      <c r="F5" s="10">
        <f t="shared" si="0"/>
        <v>-0.6899999999999995</v>
      </c>
      <c r="G5" s="11">
        <f t="shared" si="1"/>
        <v>-4.8184357541899404E-2</v>
      </c>
      <c r="H5" s="11">
        <v>0.05</v>
      </c>
      <c r="I5" s="11">
        <f t="shared" si="2"/>
        <v>-2.4092178770949704E-3</v>
      </c>
    </row>
    <row r="6" spans="1:9">
      <c r="A6" s="2" t="s">
        <v>15</v>
      </c>
      <c r="B6" s="10">
        <v>23.45</v>
      </c>
      <c r="C6" s="10">
        <v>30.34</v>
      </c>
      <c r="D6" s="10">
        <v>28.34</v>
      </c>
      <c r="E6" s="10">
        <v>29.53</v>
      </c>
      <c r="F6" s="10">
        <f t="shared" si="0"/>
        <v>6.0800000000000018</v>
      </c>
      <c r="G6" s="11">
        <f t="shared" si="1"/>
        <v>0.25927505330490414</v>
      </c>
      <c r="H6" s="11">
        <v>0.05</v>
      </c>
      <c r="I6" s="11">
        <f t="shared" si="2"/>
        <v>1.2963752665245208E-2</v>
      </c>
    </row>
    <row r="7" spans="1:9">
      <c r="A7" s="2" t="s">
        <v>16</v>
      </c>
      <c r="B7" s="10">
        <v>25.65</v>
      </c>
      <c r="C7" s="10">
        <v>29.45</v>
      </c>
      <c r="D7" s="10">
        <v>26.42</v>
      </c>
      <c r="E7" s="10">
        <v>26.95</v>
      </c>
      <c r="F7" s="10">
        <f t="shared" si="0"/>
        <v>1.3000000000000007</v>
      </c>
      <c r="G7" s="11">
        <f t="shared" si="1"/>
        <v>5.068226120857703E-2</v>
      </c>
      <c r="H7" s="11">
        <v>0.05</v>
      </c>
      <c r="I7" s="11">
        <f t="shared" si="2"/>
        <v>2.5341130604288518E-3</v>
      </c>
    </row>
    <row r="8" spans="1:9">
      <c r="A8" s="2" t="s">
        <v>17</v>
      </c>
      <c r="B8" s="10">
        <v>20.34</v>
      </c>
      <c r="C8" s="10">
        <v>30.21</v>
      </c>
      <c r="D8" s="10">
        <v>26.42</v>
      </c>
      <c r="E8" s="10">
        <v>27.43</v>
      </c>
      <c r="F8" s="10">
        <f t="shared" si="0"/>
        <v>7.09</v>
      </c>
      <c r="G8" s="11">
        <f t="shared" si="1"/>
        <v>0.34857423795476894</v>
      </c>
      <c r="H8" s="11">
        <v>0.1</v>
      </c>
      <c r="I8" s="11">
        <f t="shared" si="2"/>
        <v>3.4857423795476898E-2</v>
      </c>
    </row>
    <row r="9" spans="1:9">
      <c r="A9" s="2" t="s">
        <v>18</v>
      </c>
      <c r="B9" s="10">
        <v>33.14</v>
      </c>
      <c r="C9" s="10">
        <v>36.43</v>
      </c>
      <c r="D9" s="10">
        <v>32.65</v>
      </c>
      <c r="E9" s="10">
        <v>32.65</v>
      </c>
      <c r="F9" s="10">
        <f t="shared" si="0"/>
        <v>-0.49000000000000199</v>
      </c>
      <c r="G9" s="11">
        <f t="shared" si="1"/>
        <v>-1.4785757392878756E-2</v>
      </c>
      <c r="H9" s="11">
        <v>0.05</v>
      </c>
      <c r="I9" s="11">
        <f t="shared" si="2"/>
        <v>-7.3928786964393785E-4</v>
      </c>
    </row>
    <row r="10" spans="1:9">
      <c r="A10" s="2" t="s">
        <v>19</v>
      </c>
      <c r="B10" s="10">
        <v>31.54</v>
      </c>
      <c r="C10" s="10">
        <v>35.65</v>
      </c>
      <c r="D10" s="10">
        <v>24.56</v>
      </c>
      <c r="E10" s="10">
        <v>26.43</v>
      </c>
      <c r="F10" s="10">
        <f t="shared" si="0"/>
        <v>-5.1099999999999994</v>
      </c>
      <c r="G10" s="11">
        <f t="shared" si="1"/>
        <v>-0.16201648700063409</v>
      </c>
      <c r="H10" s="11">
        <v>0.04</v>
      </c>
      <c r="I10" s="11">
        <f t="shared" si="2"/>
        <v>-6.4806594800253638E-3</v>
      </c>
    </row>
    <row r="11" spans="1:9">
      <c r="A11" s="2" t="s">
        <v>20</v>
      </c>
      <c r="B11" s="10">
        <v>19.34</v>
      </c>
      <c r="C11" s="10">
        <v>25.46</v>
      </c>
      <c r="D11" s="10">
        <v>23.64</v>
      </c>
      <c r="E11" s="10">
        <v>24.56</v>
      </c>
      <c r="F11" s="10">
        <f t="shared" si="0"/>
        <v>5.2199999999999989</v>
      </c>
      <c r="G11" s="11">
        <f t="shared" si="1"/>
        <v>0.26990692864529464</v>
      </c>
      <c r="H11" s="11">
        <v>0.08</v>
      </c>
      <c r="I11" s="11">
        <f t="shared" si="2"/>
        <v>2.1592554291623572E-2</v>
      </c>
    </row>
    <row r="12" spans="1:9">
      <c r="A12" s="2" t="s">
        <v>21</v>
      </c>
      <c r="B12" s="10">
        <v>49.03</v>
      </c>
      <c r="C12" s="10">
        <v>53.13</v>
      </c>
      <c r="D12" s="10">
        <v>42.53</v>
      </c>
      <c r="E12" s="10">
        <v>42.53</v>
      </c>
      <c r="F12" s="10">
        <f t="shared" si="0"/>
        <v>-6.5</v>
      </c>
      <c r="G12" s="11">
        <f t="shared" si="1"/>
        <v>-0.13257189475831124</v>
      </c>
      <c r="H12" s="11">
        <v>0.03</v>
      </c>
      <c r="I12" s="11">
        <f t="shared" si="2"/>
        <v>-3.9771568427493372E-3</v>
      </c>
    </row>
    <row r="13" spans="1:9">
      <c r="A13" s="2" t="s">
        <v>22</v>
      </c>
      <c r="B13" s="10">
        <v>1.56</v>
      </c>
      <c r="C13" s="10">
        <v>2.34</v>
      </c>
      <c r="D13" s="10">
        <v>1.94</v>
      </c>
      <c r="E13" s="10">
        <v>2.13</v>
      </c>
      <c r="F13" s="10">
        <f t="shared" si="0"/>
        <v>0.56999999999999984</v>
      </c>
      <c r="G13" s="11">
        <f t="shared" si="1"/>
        <v>0.36538461538461525</v>
      </c>
      <c r="H13" s="11">
        <v>0.1</v>
      </c>
      <c r="I13" s="11">
        <f t="shared" si="2"/>
        <v>3.6538461538461527E-2</v>
      </c>
    </row>
    <row r="14" spans="1:9">
      <c r="A14" s="2" t="s">
        <v>23</v>
      </c>
      <c r="B14" s="10">
        <v>13.56</v>
      </c>
      <c r="C14" s="10">
        <v>15.43</v>
      </c>
      <c r="D14" s="10">
        <v>11.23</v>
      </c>
      <c r="E14" s="10">
        <v>14.56</v>
      </c>
      <c r="F14" s="10">
        <f t="shared" si="0"/>
        <v>1</v>
      </c>
      <c r="G14" s="11">
        <f t="shared" si="1"/>
        <v>7.3746312684365781E-2</v>
      </c>
      <c r="H14" s="11">
        <v>0.05</v>
      </c>
      <c r="I14" s="11">
        <f t="shared" si="2"/>
        <v>3.687315634218289E-3</v>
      </c>
    </row>
    <row r="15" spans="1:9">
      <c r="A15" s="2" t="s">
        <v>24</v>
      </c>
      <c r="B15" s="10">
        <v>4.05</v>
      </c>
      <c r="C15" s="10">
        <v>6.43</v>
      </c>
      <c r="D15" s="10">
        <v>3.56</v>
      </c>
      <c r="E15" s="10">
        <v>5.25</v>
      </c>
      <c r="F15" s="10">
        <f t="shared" si="0"/>
        <v>1.2000000000000002</v>
      </c>
      <c r="G15" s="11">
        <f t="shared" si="1"/>
        <v>0.29629629629629634</v>
      </c>
      <c r="H15" s="11">
        <v>0.06</v>
      </c>
      <c r="I15" s="11">
        <f t="shared" si="2"/>
        <v>1.7777777777777778E-2</v>
      </c>
    </row>
    <row r="16" spans="1:9">
      <c r="I16" s="12"/>
    </row>
    <row r="17" spans="8:8" s="2" customFormat="1" ht="16">
      <c r="H17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DBA7C-4781-2C48-A20D-AE876E6D7001}">
  <sheetPr codeName="Sheet6"/>
  <dimension ref="A1:J21"/>
  <sheetViews>
    <sheetView tabSelected="1" workbookViewId="0">
      <selection activeCell="M23" sqref="M23"/>
    </sheetView>
  </sheetViews>
  <sheetFormatPr baseColWidth="10" defaultColWidth="6.1640625" defaultRowHeight="15"/>
  <cols>
    <col min="1" max="1" width="6.1640625" style="2"/>
    <col min="2" max="2" width="9" style="2" bestFit="1" customWidth="1"/>
    <col min="3" max="3" width="8.1640625" style="3" bestFit="1" customWidth="1"/>
    <col min="4" max="5" width="7.6640625" style="3" bestFit="1" customWidth="1"/>
    <col min="6" max="6" width="8.6640625" style="3" bestFit="1" customWidth="1"/>
    <col min="7" max="7" width="10.83203125" style="3" bestFit="1" customWidth="1"/>
    <col min="8" max="8" width="9.33203125" style="4" bestFit="1" customWidth="1"/>
    <col min="9" max="9" width="10" style="4" bestFit="1" customWidth="1"/>
    <col min="10" max="10" width="12.6640625" style="4" bestFit="1" customWidth="1"/>
    <col min="11" max="16384" width="6.1640625" style="2"/>
  </cols>
  <sheetData>
    <row r="1" spans="1:10" ht="23">
      <c r="A1" s="13" t="s">
        <v>25</v>
      </c>
    </row>
    <row r="2" spans="1:10" ht="18">
      <c r="A2" s="14" t="s">
        <v>0</v>
      </c>
    </row>
    <row r="4" spans="1:10" ht="16">
      <c r="B4" s="15" t="s">
        <v>1</v>
      </c>
      <c r="C4" s="16" t="s">
        <v>2</v>
      </c>
      <c r="D4" s="16" t="s">
        <v>3</v>
      </c>
      <c r="E4" s="16" t="s">
        <v>4</v>
      </c>
      <c r="F4" s="16" t="s">
        <v>5</v>
      </c>
      <c r="G4" s="16" t="s">
        <v>6</v>
      </c>
      <c r="H4" s="17" t="s">
        <v>7</v>
      </c>
      <c r="I4" s="17" t="s">
        <v>26</v>
      </c>
      <c r="J4" s="17" t="s">
        <v>27</v>
      </c>
    </row>
    <row r="5" spans="1:10">
      <c r="B5" s="2" t="s">
        <v>10</v>
      </c>
      <c r="C5" s="3">
        <v>12.53</v>
      </c>
      <c r="D5" s="3">
        <v>12.99</v>
      </c>
      <c r="E5" s="3">
        <v>9.23</v>
      </c>
      <c r="F5" s="3">
        <v>10.35</v>
      </c>
      <c r="G5" s="3">
        <f t="shared" ref="G5:G19" si="0">F5-C5</f>
        <v>-2.1799999999999997</v>
      </c>
      <c r="H5" s="4">
        <f t="shared" ref="H5:H19" si="1">G5/C5</f>
        <v>-0.17398244213886671</v>
      </c>
      <c r="I5" s="4">
        <v>0.1</v>
      </c>
      <c r="J5" s="4">
        <f t="shared" ref="J5:J19" si="2">H5*I5</f>
        <v>-1.7398244213886672E-2</v>
      </c>
    </row>
    <row r="6" spans="1:10">
      <c r="B6" s="2" t="s">
        <v>11</v>
      </c>
      <c r="C6" s="3">
        <v>41.38</v>
      </c>
      <c r="D6" s="3">
        <v>46.45</v>
      </c>
      <c r="E6" s="3">
        <v>42.23</v>
      </c>
      <c r="F6" s="3">
        <v>45.63</v>
      </c>
      <c r="G6" s="3">
        <f t="shared" si="0"/>
        <v>4.25</v>
      </c>
      <c r="H6" s="4">
        <f t="shared" si="1"/>
        <v>0.10270662155630739</v>
      </c>
      <c r="I6" s="4">
        <v>0.04</v>
      </c>
      <c r="J6" s="4">
        <f t="shared" si="2"/>
        <v>4.108264862252296E-3</v>
      </c>
    </row>
    <row r="7" spans="1:10">
      <c r="B7" s="2" t="s">
        <v>12</v>
      </c>
      <c r="C7" s="3">
        <v>21.34</v>
      </c>
      <c r="D7" s="3">
        <v>25.33</v>
      </c>
      <c r="E7" s="3">
        <v>18.34</v>
      </c>
      <c r="F7" s="3">
        <v>18.600000000000001</v>
      </c>
      <c r="G7" s="3">
        <f t="shared" si="0"/>
        <v>-2.7399999999999984</v>
      </c>
      <c r="H7" s="4">
        <f t="shared" si="1"/>
        <v>-0.12839737582005617</v>
      </c>
      <c r="I7" s="4">
        <v>0.08</v>
      </c>
      <c r="J7" s="4">
        <f t="shared" si="2"/>
        <v>-1.0271790065604493E-2</v>
      </c>
    </row>
    <row r="8" spans="1:10">
      <c r="B8" s="2" t="s">
        <v>13</v>
      </c>
      <c r="C8" s="3">
        <v>24.32</v>
      </c>
      <c r="D8" s="3">
        <v>25.67</v>
      </c>
      <c r="E8" s="3">
        <v>21.35</v>
      </c>
      <c r="F8" s="3">
        <v>21.45</v>
      </c>
      <c r="G8" s="3">
        <f t="shared" si="0"/>
        <v>-2.870000000000001</v>
      </c>
      <c r="H8" s="4">
        <f t="shared" si="1"/>
        <v>-0.11800986842105267</v>
      </c>
      <c r="I8" s="4">
        <v>7.0000000000000007E-2</v>
      </c>
      <c r="J8" s="4">
        <f t="shared" si="2"/>
        <v>-8.2606907894736872E-3</v>
      </c>
    </row>
    <row r="9" spans="1:10">
      <c r="B9" s="2" t="s">
        <v>14</v>
      </c>
      <c r="C9" s="3">
        <v>14.32</v>
      </c>
      <c r="D9" s="3">
        <v>16.43</v>
      </c>
      <c r="E9" s="3">
        <v>13.55</v>
      </c>
      <c r="F9" s="3">
        <v>13.63</v>
      </c>
      <c r="G9" s="3">
        <f t="shared" si="0"/>
        <v>-0.6899999999999995</v>
      </c>
      <c r="H9" s="4">
        <f t="shared" si="1"/>
        <v>-4.8184357541899404E-2</v>
      </c>
      <c r="I9" s="4">
        <v>0.05</v>
      </c>
      <c r="J9" s="4">
        <f t="shared" si="2"/>
        <v>-2.4092178770949704E-3</v>
      </c>
    </row>
    <row r="10" spans="1:10">
      <c r="B10" s="2" t="s">
        <v>15</v>
      </c>
      <c r="C10" s="3">
        <v>23.45</v>
      </c>
      <c r="D10" s="3">
        <v>30.34</v>
      </c>
      <c r="E10" s="3">
        <v>28.34</v>
      </c>
      <c r="F10" s="3">
        <v>29.53</v>
      </c>
      <c r="G10" s="3">
        <f t="shared" si="0"/>
        <v>6.0800000000000018</v>
      </c>
      <c r="H10" s="4">
        <f t="shared" si="1"/>
        <v>0.25927505330490414</v>
      </c>
      <c r="I10" s="4">
        <v>0.05</v>
      </c>
      <c r="J10" s="4">
        <f t="shared" si="2"/>
        <v>1.2963752665245208E-2</v>
      </c>
    </row>
    <row r="11" spans="1:10">
      <c r="B11" s="2" t="s">
        <v>16</v>
      </c>
      <c r="C11" s="3">
        <v>25.65</v>
      </c>
      <c r="D11" s="3">
        <v>29.45</v>
      </c>
      <c r="E11" s="3">
        <v>26.42</v>
      </c>
      <c r="F11" s="3">
        <v>26.95</v>
      </c>
      <c r="G11" s="3">
        <f t="shared" si="0"/>
        <v>1.3000000000000007</v>
      </c>
      <c r="H11" s="4">
        <f t="shared" si="1"/>
        <v>5.068226120857703E-2</v>
      </c>
      <c r="I11" s="4">
        <v>0.05</v>
      </c>
      <c r="J11" s="4">
        <f t="shared" si="2"/>
        <v>2.5341130604288518E-3</v>
      </c>
    </row>
    <row r="12" spans="1:10">
      <c r="B12" s="2" t="s">
        <v>17</v>
      </c>
      <c r="C12" s="3">
        <v>20.34</v>
      </c>
      <c r="D12" s="3">
        <v>30.21</v>
      </c>
      <c r="E12" s="3">
        <v>26.42</v>
      </c>
      <c r="F12" s="3">
        <v>27.43</v>
      </c>
      <c r="G12" s="3">
        <f t="shared" si="0"/>
        <v>7.09</v>
      </c>
      <c r="H12" s="4">
        <f t="shared" si="1"/>
        <v>0.34857423795476894</v>
      </c>
      <c r="I12" s="4">
        <v>0.1</v>
      </c>
      <c r="J12" s="4">
        <f t="shared" si="2"/>
        <v>3.4857423795476898E-2</v>
      </c>
    </row>
    <row r="13" spans="1:10">
      <c r="B13" s="2" t="s">
        <v>18</v>
      </c>
      <c r="C13" s="3">
        <v>33.14</v>
      </c>
      <c r="D13" s="3">
        <v>36.43</v>
      </c>
      <c r="E13" s="3">
        <v>32.65</v>
      </c>
      <c r="F13" s="3">
        <v>32.65</v>
      </c>
      <c r="G13" s="3">
        <f t="shared" si="0"/>
        <v>-0.49000000000000199</v>
      </c>
      <c r="H13" s="4">
        <f t="shared" si="1"/>
        <v>-1.4785757392878756E-2</v>
      </c>
      <c r="I13" s="4">
        <v>0.05</v>
      </c>
      <c r="J13" s="4">
        <f t="shared" si="2"/>
        <v>-7.3928786964393785E-4</v>
      </c>
    </row>
    <row r="14" spans="1:10">
      <c r="B14" s="2" t="s">
        <v>19</v>
      </c>
      <c r="C14" s="3">
        <v>31.54</v>
      </c>
      <c r="D14" s="3">
        <v>35.65</v>
      </c>
      <c r="E14" s="3">
        <v>24.56</v>
      </c>
      <c r="F14" s="3">
        <v>26.43</v>
      </c>
      <c r="G14" s="3">
        <f t="shared" si="0"/>
        <v>-5.1099999999999994</v>
      </c>
      <c r="H14" s="4">
        <f t="shared" si="1"/>
        <v>-0.16201648700063409</v>
      </c>
      <c r="I14" s="4">
        <v>0.04</v>
      </c>
      <c r="J14" s="4">
        <f t="shared" si="2"/>
        <v>-6.4806594800253638E-3</v>
      </c>
    </row>
    <row r="15" spans="1:10">
      <c r="B15" s="2" t="s">
        <v>20</v>
      </c>
      <c r="C15" s="3">
        <v>19.34</v>
      </c>
      <c r="D15" s="3">
        <v>25.46</v>
      </c>
      <c r="E15" s="3">
        <v>23.64</v>
      </c>
      <c r="F15" s="3">
        <v>24.56</v>
      </c>
      <c r="G15" s="3">
        <f t="shared" si="0"/>
        <v>5.2199999999999989</v>
      </c>
      <c r="H15" s="4">
        <f t="shared" si="1"/>
        <v>0.26990692864529464</v>
      </c>
      <c r="I15" s="4">
        <v>0.08</v>
      </c>
      <c r="J15" s="4">
        <f t="shared" si="2"/>
        <v>2.1592554291623572E-2</v>
      </c>
    </row>
    <row r="16" spans="1:10">
      <c r="B16" s="2" t="s">
        <v>21</v>
      </c>
      <c r="C16" s="3">
        <v>49.03</v>
      </c>
      <c r="D16" s="3">
        <v>53.13</v>
      </c>
      <c r="E16" s="3">
        <v>42.53</v>
      </c>
      <c r="F16" s="3">
        <v>42.53</v>
      </c>
      <c r="G16" s="3">
        <f t="shared" si="0"/>
        <v>-6.5</v>
      </c>
      <c r="H16" s="4">
        <f t="shared" si="1"/>
        <v>-0.13257189475831124</v>
      </c>
      <c r="I16" s="4">
        <v>0.03</v>
      </c>
      <c r="J16" s="4">
        <f t="shared" si="2"/>
        <v>-3.9771568427493372E-3</v>
      </c>
    </row>
    <row r="17" spans="2:10">
      <c r="B17" s="2" t="s">
        <v>22</v>
      </c>
      <c r="C17" s="3">
        <v>1.56</v>
      </c>
      <c r="D17" s="3">
        <v>2.34</v>
      </c>
      <c r="E17" s="3">
        <v>1.94</v>
      </c>
      <c r="F17" s="3">
        <v>2.13</v>
      </c>
      <c r="G17" s="3">
        <f t="shared" si="0"/>
        <v>0.56999999999999984</v>
      </c>
      <c r="H17" s="4">
        <f t="shared" si="1"/>
        <v>0.36538461538461525</v>
      </c>
      <c r="I17" s="4">
        <v>0.1</v>
      </c>
      <c r="J17" s="4">
        <f t="shared" si="2"/>
        <v>3.6538461538461527E-2</v>
      </c>
    </row>
    <row r="18" spans="2:10">
      <c r="B18" s="2" t="s">
        <v>23</v>
      </c>
      <c r="C18" s="3">
        <v>13.56</v>
      </c>
      <c r="D18" s="3">
        <v>15.43</v>
      </c>
      <c r="E18" s="3">
        <v>11.23</v>
      </c>
      <c r="F18" s="3">
        <v>14.56</v>
      </c>
      <c r="G18" s="3">
        <f t="shared" si="0"/>
        <v>1</v>
      </c>
      <c r="H18" s="4">
        <f t="shared" si="1"/>
        <v>7.3746312684365781E-2</v>
      </c>
      <c r="I18" s="4">
        <v>0.05</v>
      </c>
      <c r="J18" s="4">
        <f t="shared" si="2"/>
        <v>3.687315634218289E-3</v>
      </c>
    </row>
    <row r="19" spans="2:10">
      <c r="B19" s="2" t="s">
        <v>24</v>
      </c>
      <c r="C19" s="3">
        <v>4.05</v>
      </c>
      <c r="D19" s="3">
        <v>6.43</v>
      </c>
      <c r="E19" s="3">
        <v>3.56</v>
      </c>
      <c r="F19" s="3">
        <v>5.25</v>
      </c>
      <c r="G19" s="3">
        <f t="shared" si="0"/>
        <v>1.2000000000000002</v>
      </c>
      <c r="H19" s="4">
        <f t="shared" si="1"/>
        <v>0.29629629629629634</v>
      </c>
      <c r="I19" s="4">
        <v>0.06</v>
      </c>
      <c r="J19" s="4">
        <f t="shared" si="2"/>
        <v>1.7777777777777778E-2</v>
      </c>
    </row>
    <row r="20" spans="2:10">
      <c r="J20" s="9"/>
    </row>
    <row r="21" spans="2:10" ht="16">
      <c r="I21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34C9C-2083-BB46-ABCD-BEBB13760A65}">
  <sheetPr codeName="Sheet5"/>
  <dimension ref="A1:J20"/>
  <sheetViews>
    <sheetView workbookViewId="0">
      <selection activeCell="B4" sqref="B4:J4"/>
    </sheetView>
  </sheetViews>
  <sheetFormatPr baseColWidth="10" defaultColWidth="6.1640625" defaultRowHeight="15"/>
  <cols>
    <col min="1" max="1" width="6.1640625" style="2"/>
    <col min="2" max="2" width="9" style="2" bestFit="1" customWidth="1"/>
    <col min="3" max="3" width="8.1640625" style="3" bestFit="1" customWidth="1"/>
    <col min="4" max="5" width="7.6640625" style="3" bestFit="1" customWidth="1"/>
    <col min="6" max="6" width="8.6640625" style="3" bestFit="1" customWidth="1"/>
    <col min="7" max="7" width="10.83203125" style="3" bestFit="1" customWidth="1"/>
    <col min="8" max="8" width="9.33203125" style="4" bestFit="1" customWidth="1"/>
    <col min="9" max="9" width="10" style="4" bestFit="1" customWidth="1"/>
    <col min="10" max="10" width="12.6640625" style="4" bestFit="1" customWidth="1"/>
    <col min="11" max="16384" width="6.1640625" style="2"/>
  </cols>
  <sheetData>
    <row r="1" spans="1:10" ht="23">
      <c r="A1" s="13"/>
      <c r="B1" s="2" t="s">
        <v>10</v>
      </c>
      <c r="C1" s="3">
        <v>12.53</v>
      </c>
      <c r="D1" s="3">
        <v>12.99</v>
      </c>
      <c r="E1" s="3">
        <v>9.23</v>
      </c>
      <c r="F1" s="3">
        <v>10.35</v>
      </c>
      <c r="G1" s="3">
        <f t="shared" ref="G1:G18" si="0">F1-C1</f>
        <v>-2.1799999999999997</v>
      </c>
      <c r="H1" s="4">
        <f t="shared" ref="H1:H18" si="1">G1/C1</f>
        <v>-0.17398244213886671</v>
      </c>
      <c r="I1" s="4">
        <v>0.1</v>
      </c>
      <c r="J1" s="4">
        <f t="shared" ref="J1:J18" si="2">H1*I1</f>
        <v>-1.7398244213886672E-2</v>
      </c>
    </row>
    <row r="2" spans="1:10" ht="18">
      <c r="A2" s="14" t="s">
        <v>0</v>
      </c>
    </row>
    <row r="4" spans="1:10" ht="16">
      <c r="B4" s="15" t="s">
        <v>1</v>
      </c>
      <c r="C4" s="16" t="s">
        <v>2</v>
      </c>
      <c r="D4" s="16" t="s">
        <v>3</v>
      </c>
      <c r="E4" s="16" t="s">
        <v>4</v>
      </c>
      <c r="F4" s="16" t="s">
        <v>5</v>
      </c>
      <c r="G4" s="16" t="s">
        <v>6</v>
      </c>
      <c r="H4" s="17" t="s">
        <v>7</v>
      </c>
      <c r="I4" s="17" t="s">
        <v>26</v>
      </c>
      <c r="J4" s="17" t="s">
        <v>27</v>
      </c>
    </row>
    <row r="5" spans="1:10">
      <c r="B5" s="2" t="s">
        <v>11</v>
      </c>
      <c r="C5" s="3">
        <v>41.38</v>
      </c>
      <c r="D5" s="3">
        <v>46.45</v>
      </c>
      <c r="E5" s="3">
        <v>42.23</v>
      </c>
      <c r="F5" s="3">
        <v>45.63</v>
      </c>
      <c r="G5" s="3">
        <f t="shared" si="0"/>
        <v>4.25</v>
      </c>
      <c r="H5" s="4">
        <f t="shared" si="1"/>
        <v>0.10270662155630739</v>
      </c>
      <c r="I5" s="4">
        <v>0.04</v>
      </c>
      <c r="J5" s="4">
        <f t="shared" si="2"/>
        <v>4.108264862252296E-3</v>
      </c>
    </row>
    <row r="6" spans="1:10">
      <c r="B6" s="2" t="s">
        <v>12</v>
      </c>
      <c r="C6" s="3">
        <v>21.34</v>
      </c>
      <c r="D6" s="3">
        <v>25.33</v>
      </c>
      <c r="E6" s="3">
        <v>18.34</v>
      </c>
      <c r="F6" s="3">
        <v>18.600000000000001</v>
      </c>
      <c r="G6" s="3">
        <f t="shared" si="0"/>
        <v>-2.7399999999999984</v>
      </c>
      <c r="H6" s="4">
        <f t="shared" si="1"/>
        <v>-0.12839737582005617</v>
      </c>
      <c r="I6" s="4">
        <v>0.08</v>
      </c>
      <c r="J6" s="4">
        <f t="shared" si="2"/>
        <v>-1.0271790065604493E-2</v>
      </c>
    </row>
    <row r="7" spans="1:10">
      <c r="B7" s="2" t="s">
        <v>13</v>
      </c>
      <c r="C7" s="3">
        <v>24.32</v>
      </c>
      <c r="D7" s="3">
        <v>25.67</v>
      </c>
      <c r="E7" s="3">
        <v>21.35</v>
      </c>
      <c r="F7" s="3">
        <v>21.45</v>
      </c>
      <c r="G7" s="3">
        <f t="shared" si="0"/>
        <v>-2.870000000000001</v>
      </c>
      <c r="H7" s="4">
        <f t="shared" si="1"/>
        <v>-0.11800986842105267</v>
      </c>
      <c r="I7" s="4">
        <v>7.0000000000000007E-2</v>
      </c>
      <c r="J7" s="4">
        <f t="shared" si="2"/>
        <v>-8.2606907894736872E-3</v>
      </c>
    </row>
    <row r="8" spans="1:10">
      <c r="B8" s="2" t="s">
        <v>14</v>
      </c>
      <c r="C8" s="3">
        <v>14.32</v>
      </c>
      <c r="D8" s="3">
        <v>16.43</v>
      </c>
      <c r="E8" s="3">
        <v>13.55</v>
      </c>
      <c r="F8" s="3">
        <v>13.63</v>
      </c>
      <c r="G8" s="3">
        <f t="shared" si="0"/>
        <v>-0.6899999999999995</v>
      </c>
      <c r="H8" s="4">
        <f t="shared" si="1"/>
        <v>-4.8184357541899404E-2</v>
      </c>
      <c r="I8" s="4">
        <v>0.05</v>
      </c>
      <c r="J8" s="4">
        <f t="shared" si="2"/>
        <v>-2.4092178770949704E-3</v>
      </c>
    </row>
    <row r="9" spans="1:10">
      <c r="B9" s="2" t="s">
        <v>15</v>
      </c>
      <c r="C9" s="3">
        <v>23.45</v>
      </c>
      <c r="D9" s="3">
        <v>30.34</v>
      </c>
      <c r="E9" s="3">
        <v>28.34</v>
      </c>
      <c r="F9" s="3">
        <v>29.53</v>
      </c>
      <c r="G9" s="3">
        <f t="shared" si="0"/>
        <v>6.0800000000000018</v>
      </c>
      <c r="H9" s="4">
        <f t="shared" si="1"/>
        <v>0.25927505330490414</v>
      </c>
      <c r="I9" s="4">
        <v>0.05</v>
      </c>
      <c r="J9" s="4">
        <f t="shared" si="2"/>
        <v>1.2963752665245208E-2</v>
      </c>
    </row>
    <row r="10" spans="1:10">
      <c r="A10" s="2" t="s">
        <v>25</v>
      </c>
      <c r="B10" s="2" t="s">
        <v>16</v>
      </c>
      <c r="C10" s="3">
        <v>25.65</v>
      </c>
      <c r="D10" s="3">
        <v>29.45</v>
      </c>
      <c r="E10" s="3">
        <v>26.42</v>
      </c>
      <c r="F10" s="3">
        <v>26.95</v>
      </c>
      <c r="G10" s="3">
        <f t="shared" si="0"/>
        <v>1.3000000000000007</v>
      </c>
      <c r="H10" s="4">
        <f t="shared" si="1"/>
        <v>5.068226120857703E-2</v>
      </c>
      <c r="I10" s="4">
        <v>0.05</v>
      </c>
      <c r="J10" s="4">
        <f t="shared" si="2"/>
        <v>2.5341130604288518E-3</v>
      </c>
    </row>
    <row r="11" spans="1:10">
      <c r="B11" s="2" t="s">
        <v>17</v>
      </c>
      <c r="C11" s="3">
        <v>20.34</v>
      </c>
      <c r="D11" s="3">
        <v>30.21</v>
      </c>
      <c r="E11" s="3">
        <v>26.42</v>
      </c>
      <c r="F11" s="3">
        <v>27.43</v>
      </c>
      <c r="G11" s="3">
        <f t="shared" si="0"/>
        <v>7.09</v>
      </c>
      <c r="H11" s="4">
        <f t="shared" si="1"/>
        <v>0.34857423795476894</v>
      </c>
      <c r="I11" s="4">
        <v>0.1</v>
      </c>
      <c r="J11" s="4">
        <f t="shared" si="2"/>
        <v>3.4857423795476898E-2</v>
      </c>
    </row>
    <row r="12" spans="1:10">
      <c r="B12" s="2" t="s">
        <v>18</v>
      </c>
      <c r="C12" s="3">
        <v>33.14</v>
      </c>
      <c r="D12" s="3">
        <v>36.43</v>
      </c>
      <c r="E12" s="3">
        <v>32.65</v>
      </c>
      <c r="F12" s="3">
        <v>32.65</v>
      </c>
      <c r="G12" s="3">
        <f t="shared" si="0"/>
        <v>-0.49000000000000199</v>
      </c>
      <c r="H12" s="4">
        <f t="shared" si="1"/>
        <v>-1.4785757392878756E-2</v>
      </c>
      <c r="I12" s="4">
        <v>0.05</v>
      </c>
      <c r="J12" s="4">
        <f t="shared" si="2"/>
        <v>-7.3928786964393785E-4</v>
      </c>
    </row>
    <row r="13" spans="1:10">
      <c r="B13" s="2" t="s">
        <v>19</v>
      </c>
      <c r="C13" s="3">
        <v>31.54</v>
      </c>
      <c r="D13" s="3">
        <v>35.65</v>
      </c>
      <c r="E13" s="3">
        <v>24.56</v>
      </c>
      <c r="F13" s="3">
        <v>26.43</v>
      </c>
      <c r="G13" s="3">
        <f t="shared" si="0"/>
        <v>-5.1099999999999994</v>
      </c>
      <c r="H13" s="4">
        <f t="shared" si="1"/>
        <v>-0.16201648700063409</v>
      </c>
      <c r="I13" s="4">
        <v>0.04</v>
      </c>
      <c r="J13" s="4">
        <f t="shared" si="2"/>
        <v>-6.4806594800253638E-3</v>
      </c>
    </row>
    <row r="14" spans="1:10">
      <c r="B14" s="2" t="s">
        <v>20</v>
      </c>
      <c r="C14" s="3">
        <v>19.34</v>
      </c>
      <c r="D14" s="3">
        <v>25.46</v>
      </c>
      <c r="E14" s="3">
        <v>23.64</v>
      </c>
      <c r="F14" s="3">
        <v>24.56</v>
      </c>
      <c r="G14" s="3">
        <f t="shared" si="0"/>
        <v>5.2199999999999989</v>
      </c>
      <c r="H14" s="4">
        <f t="shared" si="1"/>
        <v>0.26990692864529464</v>
      </c>
      <c r="I14" s="4">
        <v>0.08</v>
      </c>
      <c r="J14" s="4">
        <f t="shared" si="2"/>
        <v>2.1592554291623572E-2</v>
      </c>
    </row>
    <row r="15" spans="1:10">
      <c r="B15" s="2" t="s">
        <v>21</v>
      </c>
      <c r="C15" s="3">
        <v>49.03</v>
      </c>
      <c r="D15" s="3">
        <v>53.13</v>
      </c>
      <c r="E15" s="3">
        <v>42.53</v>
      </c>
      <c r="F15" s="3">
        <v>42.53</v>
      </c>
      <c r="G15" s="3">
        <f t="shared" si="0"/>
        <v>-6.5</v>
      </c>
      <c r="H15" s="4">
        <f t="shared" si="1"/>
        <v>-0.13257189475831124</v>
      </c>
      <c r="I15" s="4">
        <v>0.03</v>
      </c>
      <c r="J15" s="4">
        <f t="shared" si="2"/>
        <v>-3.9771568427493372E-3</v>
      </c>
    </row>
    <row r="16" spans="1:10">
      <c r="B16" s="2" t="s">
        <v>22</v>
      </c>
      <c r="C16" s="3">
        <v>1.56</v>
      </c>
      <c r="D16" s="3">
        <v>2.34</v>
      </c>
      <c r="E16" s="3">
        <v>1.94</v>
      </c>
      <c r="F16" s="3">
        <v>2.13</v>
      </c>
      <c r="G16" s="3">
        <f t="shared" si="0"/>
        <v>0.56999999999999984</v>
      </c>
      <c r="H16" s="4">
        <f t="shared" si="1"/>
        <v>0.36538461538461525</v>
      </c>
      <c r="I16" s="4">
        <v>0.1</v>
      </c>
      <c r="J16" s="4">
        <f t="shared" si="2"/>
        <v>3.6538461538461527E-2</v>
      </c>
    </row>
    <row r="17" spans="2:10">
      <c r="B17" s="2" t="s">
        <v>23</v>
      </c>
      <c r="C17" s="3">
        <v>13.56</v>
      </c>
      <c r="D17" s="3">
        <v>15.43</v>
      </c>
      <c r="E17" s="3">
        <v>11.23</v>
      </c>
      <c r="F17" s="3">
        <v>14.56</v>
      </c>
      <c r="G17" s="3">
        <f t="shared" si="0"/>
        <v>1</v>
      </c>
      <c r="H17" s="4">
        <f t="shared" si="1"/>
        <v>7.3746312684365781E-2</v>
      </c>
      <c r="I17" s="4">
        <v>0.05</v>
      </c>
      <c r="J17" s="4">
        <f t="shared" si="2"/>
        <v>3.687315634218289E-3</v>
      </c>
    </row>
    <row r="18" spans="2:10">
      <c r="B18" s="2" t="s">
        <v>24</v>
      </c>
      <c r="C18" s="3">
        <v>4.05</v>
      </c>
      <c r="D18" s="3">
        <v>6.43</v>
      </c>
      <c r="E18" s="3">
        <v>3.56</v>
      </c>
      <c r="F18" s="3">
        <v>5.25</v>
      </c>
      <c r="G18" s="3">
        <f t="shared" si="0"/>
        <v>1.2000000000000002</v>
      </c>
      <c r="H18" s="4">
        <f t="shared" si="1"/>
        <v>0.29629629629629634</v>
      </c>
      <c r="I18" s="4">
        <v>0.06</v>
      </c>
      <c r="J18" s="4">
        <f t="shared" si="2"/>
        <v>1.7777777777777778E-2</v>
      </c>
    </row>
    <row r="19" spans="2:10">
      <c r="J19" s="9"/>
    </row>
    <row r="20" spans="2:10" ht="16">
      <c r="I20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20"/>
  <sheetViews>
    <sheetView workbookViewId="0">
      <selection activeCell="B4" sqref="B4:J4"/>
    </sheetView>
  </sheetViews>
  <sheetFormatPr baseColWidth="10" defaultColWidth="6.1640625" defaultRowHeight="15"/>
  <cols>
    <col min="1" max="1" width="6.1640625" style="2"/>
    <col min="2" max="2" width="9" style="2" bestFit="1" customWidth="1"/>
    <col min="3" max="3" width="8.1640625" style="3" bestFit="1" customWidth="1"/>
    <col min="4" max="5" width="7.6640625" style="3" bestFit="1" customWidth="1"/>
    <col min="6" max="6" width="8.6640625" style="3" bestFit="1" customWidth="1"/>
    <col min="7" max="7" width="10.83203125" style="3" bestFit="1" customWidth="1"/>
    <col min="8" max="8" width="9.33203125" style="4" bestFit="1" customWidth="1"/>
    <col min="9" max="9" width="10" style="4" bestFit="1" customWidth="1"/>
    <col min="10" max="10" width="12.6640625" style="4" bestFit="1" customWidth="1"/>
    <col min="11" max="16384" width="6.1640625" style="2"/>
  </cols>
  <sheetData>
    <row r="1" spans="1:10" ht="23">
      <c r="A1" s="13"/>
      <c r="B1" s="2" t="s">
        <v>10</v>
      </c>
      <c r="C1" s="3">
        <v>12.53</v>
      </c>
      <c r="D1" s="3">
        <v>12.99</v>
      </c>
      <c r="E1" s="3">
        <v>9.23</v>
      </c>
      <c r="F1" s="3">
        <v>10.35</v>
      </c>
      <c r="G1" s="3">
        <f t="shared" ref="G1:G18" si="0">F1-C1</f>
        <v>-2.1799999999999997</v>
      </c>
      <c r="H1" s="4">
        <f t="shared" ref="H1:H18" si="1">G1/C1</f>
        <v>-0.17398244213886671</v>
      </c>
      <c r="I1" s="4">
        <v>0.1</v>
      </c>
      <c r="J1" s="4">
        <f t="shared" ref="J1:J18" si="2">H1*I1</f>
        <v>-1.7398244213886672E-2</v>
      </c>
    </row>
    <row r="2" spans="1:10" ht="18">
      <c r="A2" s="14" t="s">
        <v>0</v>
      </c>
    </row>
    <row r="4" spans="1:10" ht="16">
      <c r="B4" s="15" t="s">
        <v>1</v>
      </c>
      <c r="C4" s="16" t="s">
        <v>2</v>
      </c>
      <c r="D4" s="16" t="s">
        <v>3</v>
      </c>
      <c r="E4" s="16" t="s">
        <v>4</v>
      </c>
      <c r="F4" s="16" t="s">
        <v>5</v>
      </c>
      <c r="G4" s="16" t="s">
        <v>6</v>
      </c>
      <c r="H4" s="17" t="s">
        <v>7</v>
      </c>
      <c r="I4" s="17" t="s">
        <v>26</v>
      </c>
      <c r="J4" s="17" t="s">
        <v>27</v>
      </c>
    </row>
    <row r="5" spans="1:10">
      <c r="B5" s="2" t="s">
        <v>11</v>
      </c>
      <c r="C5" s="3">
        <v>41.38</v>
      </c>
      <c r="D5" s="3">
        <v>46.45</v>
      </c>
      <c r="E5" s="3">
        <v>42.23</v>
      </c>
      <c r="F5" s="3">
        <v>45.63</v>
      </c>
      <c r="G5" s="3">
        <f t="shared" si="0"/>
        <v>4.25</v>
      </c>
      <c r="H5" s="4">
        <f t="shared" si="1"/>
        <v>0.10270662155630739</v>
      </c>
      <c r="I5" s="4">
        <v>0.04</v>
      </c>
      <c r="J5" s="4">
        <f t="shared" si="2"/>
        <v>4.108264862252296E-3</v>
      </c>
    </row>
    <row r="6" spans="1:10">
      <c r="B6" s="2" t="s">
        <v>12</v>
      </c>
      <c r="C6" s="3">
        <v>21.34</v>
      </c>
      <c r="D6" s="3">
        <v>25.33</v>
      </c>
      <c r="E6" s="3">
        <v>18.34</v>
      </c>
      <c r="F6" s="3">
        <v>18.600000000000001</v>
      </c>
      <c r="G6" s="3">
        <f t="shared" si="0"/>
        <v>-2.7399999999999984</v>
      </c>
      <c r="H6" s="4">
        <f t="shared" si="1"/>
        <v>-0.12839737582005617</v>
      </c>
      <c r="I6" s="4">
        <v>0.08</v>
      </c>
      <c r="J6" s="4">
        <f t="shared" si="2"/>
        <v>-1.0271790065604493E-2</v>
      </c>
    </row>
    <row r="7" spans="1:10">
      <c r="B7" s="2" t="s">
        <v>13</v>
      </c>
      <c r="C7" s="3">
        <v>24.32</v>
      </c>
      <c r="D7" s="3">
        <v>25.67</v>
      </c>
      <c r="E7" s="3">
        <v>21.35</v>
      </c>
      <c r="F7" s="3">
        <v>21.45</v>
      </c>
      <c r="G7" s="3">
        <f t="shared" si="0"/>
        <v>-2.870000000000001</v>
      </c>
      <c r="H7" s="4">
        <f t="shared" si="1"/>
        <v>-0.11800986842105267</v>
      </c>
      <c r="I7" s="4">
        <v>7.0000000000000007E-2</v>
      </c>
      <c r="J7" s="4">
        <f t="shared" si="2"/>
        <v>-8.2606907894736872E-3</v>
      </c>
    </row>
    <row r="8" spans="1:10">
      <c r="B8" s="2" t="s">
        <v>14</v>
      </c>
      <c r="C8" s="3">
        <v>14.32</v>
      </c>
      <c r="D8" s="3">
        <v>16.43</v>
      </c>
      <c r="E8" s="3">
        <v>13.55</v>
      </c>
      <c r="F8" s="3">
        <v>13.63</v>
      </c>
      <c r="G8" s="3">
        <f t="shared" si="0"/>
        <v>-0.6899999999999995</v>
      </c>
      <c r="H8" s="4">
        <f t="shared" si="1"/>
        <v>-4.8184357541899404E-2</v>
      </c>
      <c r="I8" s="4">
        <v>0.05</v>
      </c>
      <c r="J8" s="4">
        <f t="shared" si="2"/>
        <v>-2.4092178770949704E-3</v>
      </c>
    </row>
    <row r="9" spans="1:10">
      <c r="B9" s="2" t="s">
        <v>15</v>
      </c>
      <c r="C9" s="3">
        <v>23.45</v>
      </c>
      <c r="D9" s="3">
        <v>30.34</v>
      </c>
      <c r="E9" s="3">
        <v>28.34</v>
      </c>
      <c r="F9" s="3">
        <v>29.53</v>
      </c>
      <c r="G9" s="3">
        <f t="shared" si="0"/>
        <v>6.0800000000000018</v>
      </c>
      <c r="H9" s="4">
        <f t="shared" si="1"/>
        <v>0.25927505330490414</v>
      </c>
      <c r="I9" s="4">
        <v>0.05</v>
      </c>
      <c r="J9" s="4">
        <f t="shared" si="2"/>
        <v>1.2963752665245208E-2</v>
      </c>
    </row>
    <row r="10" spans="1:10">
      <c r="A10" s="2" t="s">
        <v>25</v>
      </c>
      <c r="B10" s="2" t="s">
        <v>16</v>
      </c>
      <c r="C10" s="3">
        <v>25.65</v>
      </c>
      <c r="D10" s="3">
        <v>29.45</v>
      </c>
      <c r="E10" s="3">
        <v>26.42</v>
      </c>
      <c r="F10" s="3">
        <v>26.95</v>
      </c>
      <c r="G10" s="3">
        <f t="shared" si="0"/>
        <v>1.3000000000000007</v>
      </c>
      <c r="H10" s="4">
        <f t="shared" si="1"/>
        <v>5.068226120857703E-2</v>
      </c>
      <c r="I10" s="4">
        <v>0.05</v>
      </c>
      <c r="J10" s="4">
        <f t="shared" si="2"/>
        <v>2.5341130604288518E-3</v>
      </c>
    </row>
    <row r="11" spans="1:10">
      <c r="B11" s="2" t="s">
        <v>17</v>
      </c>
      <c r="C11" s="3">
        <v>20.34</v>
      </c>
      <c r="D11" s="3">
        <v>30.21</v>
      </c>
      <c r="E11" s="3">
        <v>26.42</v>
      </c>
      <c r="F11" s="3">
        <v>27.43</v>
      </c>
      <c r="G11" s="3">
        <f t="shared" si="0"/>
        <v>7.09</v>
      </c>
      <c r="H11" s="4">
        <f t="shared" si="1"/>
        <v>0.34857423795476894</v>
      </c>
      <c r="I11" s="4">
        <v>0.1</v>
      </c>
      <c r="J11" s="4">
        <f t="shared" si="2"/>
        <v>3.4857423795476898E-2</v>
      </c>
    </row>
    <row r="12" spans="1:10">
      <c r="B12" s="2" t="s">
        <v>18</v>
      </c>
      <c r="C12" s="3">
        <v>33.14</v>
      </c>
      <c r="D12" s="3">
        <v>36.43</v>
      </c>
      <c r="E12" s="3">
        <v>32.65</v>
      </c>
      <c r="F12" s="3">
        <v>32.65</v>
      </c>
      <c r="G12" s="3">
        <f t="shared" si="0"/>
        <v>-0.49000000000000199</v>
      </c>
      <c r="H12" s="4">
        <f t="shared" si="1"/>
        <v>-1.4785757392878756E-2</v>
      </c>
      <c r="I12" s="4">
        <v>0.05</v>
      </c>
      <c r="J12" s="4">
        <f t="shared" si="2"/>
        <v>-7.3928786964393785E-4</v>
      </c>
    </row>
    <row r="13" spans="1:10">
      <c r="B13" s="2" t="s">
        <v>19</v>
      </c>
      <c r="C13" s="3">
        <v>31.54</v>
      </c>
      <c r="D13" s="3">
        <v>35.65</v>
      </c>
      <c r="E13" s="3">
        <v>24.56</v>
      </c>
      <c r="F13" s="3">
        <v>26.43</v>
      </c>
      <c r="G13" s="3">
        <f t="shared" si="0"/>
        <v>-5.1099999999999994</v>
      </c>
      <c r="H13" s="4">
        <f t="shared" si="1"/>
        <v>-0.16201648700063409</v>
      </c>
      <c r="I13" s="4">
        <v>0.04</v>
      </c>
      <c r="J13" s="4">
        <f t="shared" si="2"/>
        <v>-6.4806594800253638E-3</v>
      </c>
    </row>
    <row r="14" spans="1:10">
      <c r="B14" s="2" t="s">
        <v>20</v>
      </c>
      <c r="C14" s="3">
        <v>19.34</v>
      </c>
      <c r="D14" s="3">
        <v>25.46</v>
      </c>
      <c r="E14" s="3">
        <v>23.64</v>
      </c>
      <c r="F14" s="3">
        <v>24.56</v>
      </c>
      <c r="G14" s="3">
        <f t="shared" si="0"/>
        <v>5.2199999999999989</v>
      </c>
      <c r="H14" s="4">
        <f t="shared" si="1"/>
        <v>0.26990692864529464</v>
      </c>
      <c r="I14" s="4">
        <v>0.08</v>
      </c>
      <c r="J14" s="4">
        <f t="shared" si="2"/>
        <v>2.1592554291623572E-2</v>
      </c>
    </row>
    <row r="15" spans="1:10">
      <c r="B15" s="2" t="s">
        <v>21</v>
      </c>
      <c r="C15" s="3">
        <v>49.03</v>
      </c>
      <c r="D15" s="3">
        <v>53.13</v>
      </c>
      <c r="E15" s="3">
        <v>42.53</v>
      </c>
      <c r="F15" s="3">
        <v>42.53</v>
      </c>
      <c r="G15" s="3">
        <f t="shared" si="0"/>
        <v>-6.5</v>
      </c>
      <c r="H15" s="4">
        <f t="shared" si="1"/>
        <v>-0.13257189475831124</v>
      </c>
      <c r="I15" s="4">
        <v>0.03</v>
      </c>
      <c r="J15" s="4">
        <f t="shared" si="2"/>
        <v>-3.9771568427493372E-3</v>
      </c>
    </row>
    <row r="16" spans="1:10">
      <c r="B16" s="2" t="s">
        <v>22</v>
      </c>
      <c r="C16" s="3">
        <v>1.56</v>
      </c>
      <c r="D16" s="3">
        <v>2.34</v>
      </c>
      <c r="E16" s="3">
        <v>1.94</v>
      </c>
      <c r="F16" s="3">
        <v>2.13</v>
      </c>
      <c r="G16" s="3">
        <f t="shared" si="0"/>
        <v>0.56999999999999984</v>
      </c>
      <c r="H16" s="4">
        <f t="shared" si="1"/>
        <v>0.36538461538461525</v>
      </c>
      <c r="I16" s="4">
        <v>0.1</v>
      </c>
      <c r="J16" s="4">
        <f t="shared" si="2"/>
        <v>3.6538461538461527E-2</v>
      </c>
    </row>
    <row r="17" spans="2:10">
      <c r="B17" s="2" t="s">
        <v>23</v>
      </c>
      <c r="C17" s="3">
        <v>13.56</v>
      </c>
      <c r="D17" s="3">
        <v>15.43</v>
      </c>
      <c r="E17" s="3">
        <v>11.23</v>
      </c>
      <c r="F17" s="3">
        <v>14.56</v>
      </c>
      <c r="G17" s="3">
        <f t="shared" si="0"/>
        <v>1</v>
      </c>
      <c r="H17" s="4">
        <f t="shared" si="1"/>
        <v>7.3746312684365781E-2</v>
      </c>
      <c r="I17" s="4">
        <v>0.05</v>
      </c>
      <c r="J17" s="4">
        <f t="shared" si="2"/>
        <v>3.687315634218289E-3</v>
      </c>
    </row>
    <row r="18" spans="2:10">
      <c r="B18" s="2" t="s">
        <v>24</v>
      </c>
      <c r="C18" s="3">
        <v>4.05</v>
      </c>
      <c r="D18" s="3">
        <v>6.43</v>
      </c>
      <c r="E18" s="3">
        <v>3.56</v>
      </c>
      <c r="F18" s="3">
        <v>5.25</v>
      </c>
      <c r="G18" s="3">
        <f t="shared" si="0"/>
        <v>1.2000000000000002</v>
      </c>
      <c r="H18" s="4">
        <f t="shared" si="1"/>
        <v>0.29629629629629634</v>
      </c>
      <c r="I18" s="4">
        <v>0.06</v>
      </c>
      <c r="J18" s="4">
        <f t="shared" si="2"/>
        <v>1.7777777777777778E-2</v>
      </c>
    </row>
    <row r="19" spans="2:10">
      <c r="J19" s="9"/>
    </row>
    <row r="20" spans="2:10" ht="16">
      <c r="I20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I17"/>
  <sheetViews>
    <sheetView workbookViewId="0">
      <selection activeCell="I16" sqref="I16"/>
    </sheetView>
  </sheetViews>
  <sheetFormatPr baseColWidth="10" defaultColWidth="6.1640625" defaultRowHeight="15"/>
  <cols>
    <col min="1" max="1" width="10.5" style="2" customWidth="1"/>
    <col min="2" max="2" width="8.5" style="10" customWidth="1"/>
    <col min="3" max="3" width="9.5" style="10" customWidth="1"/>
    <col min="4" max="4" width="10.5" style="10" customWidth="1"/>
    <col min="5" max="5" width="9.5" style="10" customWidth="1"/>
    <col min="6" max="6" width="9.6640625" style="10" customWidth="1"/>
    <col min="7" max="7" width="14.83203125" style="11" customWidth="1"/>
    <col min="8" max="8" width="8" style="11" customWidth="1"/>
    <col min="9" max="9" width="17" style="11" customWidth="1"/>
    <col min="10" max="16384" width="6.1640625" style="2"/>
  </cols>
  <sheetData>
    <row r="1" spans="1:9">
      <c r="A1" s="2" t="s">
        <v>10</v>
      </c>
      <c r="B1" s="10">
        <v>12.53</v>
      </c>
      <c r="C1" s="10">
        <v>12.99</v>
      </c>
      <c r="D1" s="10">
        <v>9.23</v>
      </c>
      <c r="E1" s="10">
        <v>10.35</v>
      </c>
      <c r="F1" s="10">
        <f t="shared" ref="F1:F15" si="0">E1-B1</f>
        <v>-2.1799999999999997</v>
      </c>
      <c r="G1" s="11">
        <f t="shared" ref="G1:G15" si="1">F1/B1</f>
        <v>-0.17398244213886671</v>
      </c>
      <c r="H1" s="11">
        <v>0.1</v>
      </c>
      <c r="I1" s="11">
        <f t="shared" ref="I1:I15" si="2">G1*H1</f>
        <v>-1.7398244213886672E-2</v>
      </c>
    </row>
    <row r="2" spans="1:9">
      <c r="A2" s="2" t="s">
        <v>11</v>
      </c>
      <c r="B2" s="10">
        <v>41.38</v>
      </c>
      <c r="C2" s="10">
        <v>46.45</v>
      </c>
      <c r="D2" s="10">
        <v>42.23</v>
      </c>
      <c r="E2" s="10">
        <v>45.63</v>
      </c>
      <c r="F2" s="10">
        <f t="shared" si="0"/>
        <v>4.25</v>
      </c>
      <c r="G2" s="11">
        <f t="shared" si="1"/>
        <v>0.10270662155630739</v>
      </c>
      <c r="H2" s="11">
        <v>0.04</v>
      </c>
      <c r="I2" s="11">
        <f t="shared" si="2"/>
        <v>4.108264862252296E-3</v>
      </c>
    </row>
    <row r="3" spans="1:9">
      <c r="A3" s="2" t="s">
        <v>12</v>
      </c>
      <c r="B3" s="10">
        <v>21.34</v>
      </c>
      <c r="C3" s="10">
        <v>25.33</v>
      </c>
      <c r="D3" s="10">
        <v>18.34</v>
      </c>
      <c r="E3" s="10">
        <v>18.600000000000001</v>
      </c>
      <c r="F3" s="10">
        <f t="shared" si="0"/>
        <v>-2.7399999999999984</v>
      </c>
      <c r="G3" s="11">
        <f t="shared" si="1"/>
        <v>-0.12839737582005617</v>
      </c>
      <c r="H3" s="11">
        <v>0.08</v>
      </c>
      <c r="I3" s="11">
        <f t="shared" si="2"/>
        <v>-1.0271790065604493E-2</v>
      </c>
    </row>
    <row r="4" spans="1:9">
      <c r="A4" s="2" t="s">
        <v>13</v>
      </c>
      <c r="B4" s="10">
        <v>24.32</v>
      </c>
      <c r="C4" s="10">
        <v>25.67</v>
      </c>
      <c r="D4" s="10">
        <v>21.35</v>
      </c>
      <c r="E4" s="10">
        <v>21.45</v>
      </c>
      <c r="F4" s="10">
        <f t="shared" si="0"/>
        <v>-2.870000000000001</v>
      </c>
      <c r="G4" s="11">
        <f t="shared" si="1"/>
        <v>-0.11800986842105267</v>
      </c>
      <c r="H4" s="11">
        <v>7.0000000000000007E-2</v>
      </c>
      <c r="I4" s="11">
        <f t="shared" si="2"/>
        <v>-8.2606907894736872E-3</v>
      </c>
    </row>
    <row r="5" spans="1:9">
      <c r="A5" s="2" t="s">
        <v>14</v>
      </c>
      <c r="B5" s="10">
        <v>14.32</v>
      </c>
      <c r="C5" s="10">
        <v>16.43</v>
      </c>
      <c r="D5" s="10">
        <v>13.55</v>
      </c>
      <c r="E5" s="10">
        <v>13.63</v>
      </c>
      <c r="F5" s="10">
        <f t="shared" si="0"/>
        <v>-0.6899999999999995</v>
      </c>
      <c r="G5" s="11">
        <f t="shared" si="1"/>
        <v>-4.8184357541899404E-2</v>
      </c>
      <c r="H5" s="11">
        <v>0.05</v>
      </c>
      <c r="I5" s="11">
        <f t="shared" si="2"/>
        <v>-2.4092178770949704E-3</v>
      </c>
    </row>
    <row r="6" spans="1:9">
      <c r="A6" s="2" t="s">
        <v>15</v>
      </c>
      <c r="B6" s="10">
        <v>23.45</v>
      </c>
      <c r="C6" s="10">
        <v>30.34</v>
      </c>
      <c r="D6" s="10">
        <v>28.34</v>
      </c>
      <c r="E6" s="10">
        <v>29.53</v>
      </c>
      <c r="F6" s="10">
        <f t="shared" si="0"/>
        <v>6.0800000000000018</v>
      </c>
      <c r="G6" s="11">
        <f t="shared" si="1"/>
        <v>0.25927505330490414</v>
      </c>
      <c r="H6" s="11">
        <v>0.05</v>
      </c>
      <c r="I6" s="11">
        <f t="shared" si="2"/>
        <v>1.2963752665245208E-2</v>
      </c>
    </row>
    <row r="7" spans="1:9">
      <c r="A7" s="2" t="s">
        <v>16</v>
      </c>
      <c r="B7" s="10">
        <v>25.65</v>
      </c>
      <c r="C7" s="10">
        <v>29.45</v>
      </c>
      <c r="D7" s="10">
        <v>26.42</v>
      </c>
      <c r="E7" s="10">
        <v>26.95</v>
      </c>
      <c r="F7" s="10">
        <f t="shared" si="0"/>
        <v>1.3000000000000007</v>
      </c>
      <c r="G7" s="11">
        <f t="shared" si="1"/>
        <v>5.068226120857703E-2</v>
      </c>
      <c r="H7" s="11">
        <v>0.05</v>
      </c>
      <c r="I7" s="11">
        <f t="shared" si="2"/>
        <v>2.5341130604288518E-3</v>
      </c>
    </row>
    <row r="8" spans="1:9">
      <c r="A8" s="2" t="s">
        <v>17</v>
      </c>
      <c r="B8" s="10">
        <v>20.34</v>
      </c>
      <c r="C8" s="10">
        <v>30.21</v>
      </c>
      <c r="D8" s="10">
        <v>26.42</v>
      </c>
      <c r="E8" s="10">
        <v>27.43</v>
      </c>
      <c r="F8" s="10">
        <f t="shared" si="0"/>
        <v>7.09</v>
      </c>
      <c r="G8" s="11">
        <f t="shared" si="1"/>
        <v>0.34857423795476894</v>
      </c>
      <c r="H8" s="11">
        <v>0.1</v>
      </c>
      <c r="I8" s="11">
        <f t="shared" si="2"/>
        <v>3.4857423795476898E-2</v>
      </c>
    </row>
    <row r="9" spans="1:9">
      <c r="A9" s="2" t="s">
        <v>18</v>
      </c>
      <c r="B9" s="10">
        <v>33.14</v>
      </c>
      <c r="C9" s="10">
        <v>36.43</v>
      </c>
      <c r="D9" s="10">
        <v>32.65</v>
      </c>
      <c r="E9" s="10">
        <v>32.65</v>
      </c>
      <c r="F9" s="10">
        <f t="shared" si="0"/>
        <v>-0.49000000000000199</v>
      </c>
      <c r="G9" s="11">
        <f t="shared" si="1"/>
        <v>-1.4785757392878756E-2</v>
      </c>
      <c r="H9" s="11">
        <v>0.05</v>
      </c>
      <c r="I9" s="11">
        <f t="shared" si="2"/>
        <v>-7.3928786964393785E-4</v>
      </c>
    </row>
    <row r="10" spans="1:9">
      <c r="A10" s="2" t="s">
        <v>19</v>
      </c>
      <c r="B10" s="10">
        <v>31.54</v>
      </c>
      <c r="C10" s="10">
        <v>35.65</v>
      </c>
      <c r="D10" s="10">
        <v>24.56</v>
      </c>
      <c r="E10" s="10">
        <v>26.43</v>
      </c>
      <c r="F10" s="10">
        <f t="shared" si="0"/>
        <v>-5.1099999999999994</v>
      </c>
      <c r="G10" s="11">
        <f t="shared" si="1"/>
        <v>-0.16201648700063409</v>
      </c>
      <c r="H10" s="11">
        <v>0.04</v>
      </c>
      <c r="I10" s="11">
        <f t="shared" si="2"/>
        <v>-6.4806594800253638E-3</v>
      </c>
    </row>
    <row r="11" spans="1:9">
      <c r="A11" s="2" t="s">
        <v>20</v>
      </c>
      <c r="B11" s="10">
        <v>19.34</v>
      </c>
      <c r="C11" s="10">
        <v>25.46</v>
      </c>
      <c r="D11" s="10">
        <v>23.64</v>
      </c>
      <c r="E11" s="10">
        <v>24.56</v>
      </c>
      <c r="F11" s="10">
        <f t="shared" si="0"/>
        <v>5.2199999999999989</v>
      </c>
      <c r="G11" s="11">
        <f t="shared" si="1"/>
        <v>0.26990692864529464</v>
      </c>
      <c r="H11" s="11">
        <v>0.08</v>
      </c>
      <c r="I11" s="11">
        <f t="shared" si="2"/>
        <v>2.1592554291623572E-2</v>
      </c>
    </row>
    <row r="12" spans="1:9">
      <c r="A12" s="2" t="s">
        <v>21</v>
      </c>
      <c r="B12" s="10">
        <v>49.03</v>
      </c>
      <c r="C12" s="10">
        <v>53.13</v>
      </c>
      <c r="D12" s="10">
        <v>42.53</v>
      </c>
      <c r="E12" s="10">
        <v>42.53</v>
      </c>
      <c r="F12" s="10">
        <f t="shared" si="0"/>
        <v>-6.5</v>
      </c>
      <c r="G12" s="11">
        <f t="shared" si="1"/>
        <v>-0.13257189475831124</v>
      </c>
      <c r="H12" s="11">
        <v>0.03</v>
      </c>
      <c r="I12" s="11">
        <f t="shared" si="2"/>
        <v>-3.9771568427493372E-3</v>
      </c>
    </row>
    <row r="13" spans="1:9">
      <c r="A13" s="2" t="s">
        <v>22</v>
      </c>
      <c r="B13" s="10">
        <v>1.56</v>
      </c>
      <c r="C13" s="10">
        <v>2.34</v>
      </c>
      <c r="D13" s="10">
        <v>1.94</v>
      </c>
      <c r="E13" s="10">
        <v>2.13</v>
      </c>
      <c r="F13" s="10">
        <f t="shared" si="0"/>
        <v>0.56999999999999984</v>
      </c>
      <c r="G13" s="11">
        <f t="shared" si="1"/>
        <v>0.36538461538461525</v>
      </c>
      <c r="H13" s="11">
        <v>0.1</v>
      </c>
      <c r="I13" s="11">
        <f t="shared" si="2"/>
        <v>3.6538461538461527E-2</v>
      </c>
    </row>
    <row r="14" spans="1:9">
      <c r="A14" s="2" t="s">
        <v>23</v>
      </c>
      <c r="B14" s="10">
        <v>13.56</v>
      </c>
      <c r="C14" s="10">
        <v>15.43</v>
      </c>
      <c r="D14" s="10">
        <v>11.23</v>
      </c>
      <c r="E14" s="10">
        <v>14.56</v>
      </c>
      <c r="F14" s="10">
        <f t="shared" si="0"/>
        <v>1</v>
      </c>
      <c r="G14" s="11">
        <f t="shared" si="1"/>
        <v>7.3746312684365781E-2</v>
      </c>
      <c r="H14" s="11">
        <v>0.05</v>
      </c>
      <c r="I14" s="11">
        <f t="shared" si="2"/>
        <v>3.687315634218289E-3</v>
      </c>
    </row>
    <row r="15" spans="1:9">
      <c r="A15" s="2" t="s">
        <v>24</v>
      </c>
      <c r="B15" s="10">
        <v>4.05</v>
      </c>
      <c r="C15" s="10">
        <v>6.43</v>
      </c>
      <c r="D15" s="10">
        <v>3.56</v>
      </c>
      <c r="E15" s="10">
        <v>5.25</v>
      </c>
      <c r="F15" s="10">
        <f t="shared" si="0"/>
        <v>1.2000000000000002</v>
      </c>
      <c r="G15" s="11">
        <f t="shared" si="1"/>
        <v>0.29629629629629634</v>
      </c>
      <c r="H15" s="11">
        <v>0.06</v>
      </c>
      <c r="I15" s="11">
        <f t="shared" si="2"/>
        <v>1.7777777777777778E-2</v>
      </c>
    </row>
    <row r="16" spans="1:9">
      <c r="I16" s="12"/>
    </row>
    <row r="17" spans="8:8" s="2" customFormat="1" ht="16">
      <c r="H17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End Product</vt:lpstr>
      <vt:lpstr>Backup</vt:lpstr>
      <vt:lpstr>Backup (3)</vt:lpstr>
      <vt:lpstr>Backup (2)</vt:lpstr>
      <vt:lpstr>Backup of Backup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2011-09-14T06:03:19Z</dcterms:created>
  <dcterms:modified xsi:type="dcterms:W3CDTF">2020-11-05T02:39:21Z</dcterms:modified>
</cp:coreProperties>
</file>